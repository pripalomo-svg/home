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showInkAnnotation="0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1e5f921a6b48d1/reeembolso/"/>
    </mc:Choice>
  </mc:AlternateContent>
  <xr:revisionPtr revIDLastSave="3335" documentId="8_{27697757-D581-4BA9-BB6A-7D6D86E563D7}" xr6:coauthVersionLast="47" xr6:coauthVersionMax="47" xr10:uidLastSave="{F6DDF6D7-7D90-43C3-A85A-C9FEDA0E5E10}"/>
  <bookViews>
    <workbookView xWindow="28680" yWindow="-5205" windowWidth="29040" windowHeight="15720" firstSheet="1" activeTab="1" xr2:uid="{00000000-000D-0000-FFFF-FFFF00000000}"/>
  </bookViews>
  <sheets>
    <sheet name="Resumo Geral" sheetId="15" r:id="rId1"/>
    <sheet name="Reembolso Cigna" sheetId="1" r:id="rId2"/>
    <sheet name="Escola crianças" sheetId="2" r:id="rId3"/>
    <sheet name="janeiro 26" sheetId="5" r:id="rId4"/>
    <sheet name="março 26" sheetId="9" r:id="rId5"/>
    <sheet name="fevereiro 26" sheetId="7" r:id="rId6"/>
    <sheet name="abril 26" sheetId="10" r:id="rId7"/>
    <sheet name="maio 26" sheetId="11" r:id="rId8"/>
    <sheet name="Consolidado Jan-Mai" sheetId="12" r:id="rId9"/>
    <sheet name="Planilha1" sheetId="13" r:id="rId10"/>
    <sheet name="Planilha2" sheetId="14" r:id="rId11"/>
    <sheet name="Planilha3" sheetId="16" r:id="rId12"/>
  </sheets>
  <definedNames>
    <definedName name="_xlnm._FilterDatabase" localSheetId="1" hidden="1">'Reembolso Cigna'!$B$1:$S$55</definedName>
    <definedName name="_xlnm.Print_Area" localSheetId="1">'Reembolso Cigna'!$B$1:$S$43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E2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3" i="2"/>
  <c r="K23" i="2" s="1"/>
  <c r="Q6" i="15"/>
  <c r="R6" i="15"/>
  <c r="Q7" i="15"/>
  <c r="R7" i="15"/>
  <c r="Q8" i="15"/>
  <c r="R8" i="15"/>
  <c r="Q9" i="15"/>
  <c r="R9" i="15"/>
  <c r="Q10" i="15"/>
  <c r="R10" i="15"/>
  <c r="Q31" i="15"/>
  <c r="Q32" i="15"/>
  <c r="Q33" i="15"/>
  <c r="Q34" i="15"/>
  <c r="Q35" i="15"/>
  <c r="L52" i="15"/>
  <c r="M52" i="15"/>
  <c r="L53" i="15"/>
  <c r="M53" i="15"/>
  <c r="L54" i="15"/>
  <c r="M54" i="15"/>
  <c r="L55" i="15"/>
  <c r="L56" i="15"/>
  <c r="M56" i="15"/>
  <c r="L57" i="15"/>
  <c r="M57" i="15"/>
  <c r="L58" i="15"/>
  <c r="M58" i="15"/>
  <c r="C16" i="15"/>
  <c r="D16" i="15"/>
  <c r="C17" i="15"/>
  <c r="D17" i="15"/>
  <c r="C18" i="15"/>
  <c r="D18" i="15"/>
  <c r="C19" i="15"/>
  <c r="D19" i="15"/>
  <c r="C20" i="15"/>
  <c r="D20" i="15"/>
  <c r="C21" i="15"/>
  <c r="D21" i="15"/>
  <c r="C22" i="15"/>
  <c r="D22" i="15"/>
  <c r="C23" i="15"/>
  <c r="D23" i="15"/>
  <c r="C24" i="15"/>
  <c r="D24" i="15"/>
  <c r="C25" i="15"/>
  <c r="D25" i="15"/>
  <c r="C26" i="15"/>
  <c r="D26" i="15"/>
  <c r="C27" i="15"/>
  <c r="D27" i="15"/>
  <c r="C28" i="15"/>
  <c r="D28" i="15"/>
  <c r="C29" i="15"/>
  <c r="D29" i="15"/>
  <c r="C30" i="15"/>
  <c r="D30" i="15"/>
  <c r="H11" i="15"/>
  <c r="H10" i="15"/>
  <c r="H9" i="15"/>
  <c r="H8" i="15"/>
  <c r="H7" i="15"/>
  <c r="D10" i="15"/>
  <c r="C10" i="15"/>
  <c r="D9" i="15"/>
  <c r="C9" i="15"/>
  <c r="D8" i="15"/>
  <c r="C8" i="15"/>
  <c r="D7" i="15"/>
  <c r="C7" i="15"/>
  <c r="D6" i="15"/>
  <c r="C6" i="15"/>
  <c r="G10" i="15"/>
  <c r="G9" i="15"/>
  <c r="Q11" i="15"/>
  <c r="Q12" i="15"/>
  <c r="Q13" i="15"/>
  <c r="Q2" i="15"/>
  <c r="R2" i="15"/>
  <c r="Q3" i="15"/>
  <c r="R3" i="15"/>
  <c r="Q4" i="15"/>
  <c r="R4" i="15"/>
  <c r="L29" i="15"/>
  <c r="M29" i="15"/>
  <c r="N29" i="15"/>
  <c r="L30" i="15"/>
  <c r="M30" i="15"/>
  <c r="N30" i="15"/>
  <c r="L31" i="15"/>
  <c r="M31" i="15"/>
  <c r="N31" i="15"/>
  <c r="L32" i="15"/>
  <c r="M32" i="15"/>
  <c r="N32" i="15"/>
  <c r="L33" i="15"/>
  <c r="G46" i="15"/>
  <c r="H46" i="15"/>
  <c r="I46" i="15"/>
  <c r="G39" i="15"/>
  <c r="H39" i="15"/>
  <c r="I39" i="15"/>
  <c r="G40" i="15"/>
  <c r="H40" i="15"/>
  <c r="I40" i="15"/>
  <c r="G41" i="15"/>
  <c r="H41" i="15"/>
  <c r="I41" i="15"/>
  <c r="G42" i="15"/>
  <c r="H42" i="15"/>
  <c r="I42" i="15"/>
  <c r="G43" i="15"/>
  <c r="H43" i="15"/>
  <c r="I43" i="15"/>
  <c r="G44" i="15"/>
  <c r="H44" i="15"/>
  <c r="I44" i="15"/>
  <c r="G45" i="15"/>
  <c r="H45" i="15"/>
  <c r="I45" i="15"/>
  <c r="G30" i="15"/>
  <c r="G31" i="15"/>
  <c r="G32" i="15"/>
  <c r="G33" i="15"/>
  <c r="B41" i="15"/>
  <c r="B42" i="15"/>
  <c r="D42" i="15"/>
  <c r="L21" i="15"/>
  <c r="M21" i="15"/>
  <c r="N21" i="15"/>
  <c r="L22" i="15"/>
  <c r="M22" i="15"/>
  <c r="N22" i="15"/>
  <c r="L23" i="15"/>
  <c r="M23" i="15"/>
  <c r="N23" i="15"/>
  <c r="L24" i="15"/>
  <c r="M24" i="15"/>
  <c r="N24" i="15"/>
  <c r="L25" i="15"/>
  <c r="M25" i="15"/>
  <c r="N25" i="15"/>
  <c r="L13" i="15"/>
  <c r="M13" i="15"/>
  <c r="N13" i="15"/>
  <c r="O13" i="15"/>
  <c r="L14" i="15"/>
  <c r="M14" i="15"/>
  <c r="N14" i="15"/>
  <c r="O14" i="15"/>
  <c r="L15" i="15"/>
  <c r="M15" i="15"/>
  <c r="N15" i="15"/>
  <c r="O15" i="15"/>
  <c r="L16" i="15"/>
  <c r="M16" i="15"/>
  <c r="N16" i="15"/>
  <c r="O16" i="15"/>
  <c r="L17" i="15"/>
  <c r="M17" i="15"/>
  <c r="M33" i="15" s="1"/>
  <c r="N17" i="15"/>
  <c r="N33" i="15" s="1"/>
  <c r="O17" i="15"/>
  <c r="L6" i="15"/>
  <c r="O6" i="15"/>
  <c r="L7" i="15"/>
  <c r="O7" i="15"/>
  <c r="L8" i="15"/>
  <c r="O8" i="15"/>
  <c r="L9" i="15"/>
  <c r="H26" i="15"/>
  <c r="I26" i="15"/>
  <c r="H21" i="15"/>
  <c r="I21" i="15"/>
  <c r="H22" i="15"/>
  <c r="I22" i="15"/>
  <c r="H23" i="15"/>
  <c r="I23" i="15"/>
  <c r="H24" i="15"/>
  <c r="I24" i="15"/>
  <c r="H25" i="15"/>
  <c r="I25" i="15"/>
  <c r="H16" i="15"/>
  <c r="I16" i="15"/>
  <c r="H17" i="15"/>
  <c r="I17" i="15"/>
  <c r="H18" i="15"/>
  <c r="I18" i="15"/>
  <c r="H19" i="15"/>
  <c r="I19" i="15"/>
  <c r="H20" i="15"/>
  <c r="I20" i="15"/>
  <c r="C12" i="15"/>
  <c r="B37" i="15" s="1"/>
  <c r="D12" i="15"/>
  <c r="G12" i="15"/>
  <c r="B11" i="15"/>
  <c r="C11" i="15"/>
  <c r="D11" i="15"/>
  <c r="F11" i="15"/>
  <c r="G11" i="15"/>
  <c r="B6" i="15"/>
  <c r="E6" i="15"/>
  <c r="F6" i="15"/>
  <c r="G6" i="15"/>
  <c r="B7" i="15"/>
  <c r="E7" i="15"/>
  <c r="Q17" i="15" s="1"/>
  <c r="F7" i="15"/>
  <c r="G7" i="15"/>
  <c r="B8" i="15"/>
  <c r="E8" i="15"/>
  <c r="Q18" i="15" s="1"/>
  <c r="F8" i="15"/>
  <c r="G8" i="15"/>
  <c r="B9" i="15"/>
  <c r="E9" i="15"/>
  <c r="Q19" i="15" s="1"/>
  <c r="F9" i="15"/>
  <c r="B10" i="15"/>
  <c r="E10" i="15"/>
  <c r="Q20" i="15" s="1"/>
  <c r="F10" i="15"/>
  <c r="V14" i="12"/>
  <c r="V13" i="12"/>
  <c r="V12" i="12"/>
  <c r="V11" i="12"/>
  <c r="V10" i="12"/>
  <c r="V9" i="12"/>
  <c r="V8" i="12"/>
  <c r="V7" i="12"/>
  <c r="V6" i="12"/>
  <c r="V5" i="12"/>
  <c r="V4" i="12"/>
  <c r="V3" i="12"/>
  <c r="L34" i="12"/>
  <c r="J34" i="12"/>
  <c r="M4" i="12" a="1"/>
  <c r="M4" i="12" s="1"/>
  <c r="S47" i="12"/>
  <c r="S46" i="12"/>
  <c r="S45" i="12"/>
  <c r="Q51" i="12"/>
  <c r="Q50" i="12"/>
  <c r="Q49" i="12"/>
  <c r="Q48" i="12"/>
  <c r="Q47" i="12"/>
  <c r="Q46" i="12"/>
  <c r="Q45" i="12"/>
  <c r="N49" i="12"/>
  <c r="N48" i="12"/>
  <c r="N47" i="12"/>
  <c r="N46" i="12"/>
  <c r="N45" i="12"/>
  <c r="L49" i="12"/>
  <c r="L48" i="12"/>
  <c r="L47" i="12"/>
  <c r="L46" i="12"/>
  <c r="L45" i="12"/>
  <c r="K49" i="12"/>
  <c r="K48" i="12"/>
  <c r="K47" i="12"/>
  <c r="K46" i="12"/>
  <c r="K45" i="12"/>
  <c r="J49" i="12"/>
  <c r="J48" i="12"/>
  <c r="J47" i="12"/>
  <c r="J46" i="12"/>
  <c r="J45" i="12"/>
  <c r="L33" i="12"/>
  <c r="J33" i="12"/>
  <c r="L32" i="12"/>
  <c r="J32" i="12"/>
  <c r="L31" i="12"/>
  <c r="J31" i="12"/>
  <c r="L30" i="12"/>
  <c r="J30" i="12"/>
  <c r="K26" i="12"/>
  <c r="K25" i="12"/>
  <c r="K24" i="12"/>
  <c r="K23" i="12"/>
  <c r="K22" i="12"/>
  <c r="J26" i="12"/>
  <c r="J25" i="12"/>
  <c r="J24" i="12"/>
  <c r="J23" i="12"/>
  <c r="J22" i="12"/>
  <c r="K18" i="12"/>
  <c r="K17" i="12"/>
  <c r="K16" i="12"/>
  <c r="K15" i="12"/>
  <c r="K14" i="12"/>
  <c r="N10" i="12"/>
  <c r="M10" i="12"/>
  <c r="L10" i="12"/>
  <c r="K10" i="12"/>
  <c r="J10" i="12"/>
  <c r="N9" i="12"/>
  <c r="M9" i="12"/>
  <c r="L9" i="12"/>
  <c r="K9" i="12"/>
  <c r="J9" i="12"/>
  <c r="N8" i="12"/>
  <c r="M8" i="12"/>
  <c r="L8" i="12"/>
  <c r="K8" i="12"/>
  <c r="J8" i="12"/>
  <c r="N7" i="12"/>
  <c r="M7" i="12"/>
  <c r="L7" i="12"/>
  <c r="K7" i="12"/>
  <c r="J7" i="12"/>
  <c r="N6" i="12"/>
  <c r="M6" i="12"/>
  <c r="L6" i="12"/>
  <c r="K6" i="12"/>
  <c r="J6" i="12"/>
  <c r="N5" i="12"/>
  <c r="M5" i="12"/>
  <c r="L5" i="12"/>
  <c r="K5" i="12"/>
  <c r="J5" i="12"/>
  <c r="G49" i="12"/>
  <c r="F49" i="12"/>
  <c r="E49" i="12"/>
  <c r="D49" i="12"/>
  <c r="C49" i="12"/>
  <c r="B49" i="12"/>
  <c r="G48" i="12"/>
  <c r="F48" i="12"/>
  <c r="E48" i="12"/>
  <c r="D48" i="12"/>
  <c r="C48" i="12"/>
  <c r="B48" i="12"/>
  <c r="G47" i="12"/>
  <c r="F47" i="12"/>
  <c r="E47" i="12"/>
  <c r="D47" i="12"/>
  <c r="C47" i="12"/>
  <c r="B47" i="12"/>
  <c r="G42" i="12"/>
  <c r="F42" i="12"/>
  <c r="E42" i="12"/>
  <c r="D42" i="12"/>
  <c r="C42" i="12"/>
  <c r="B42" i="12"/>
  <c r="G41" i="12"/>
  <c r="F41" i="12"/>
  <c r="E41" i="12"/>
  <c r="D41" i="12"/>
  <c r="C41" i="12"/>
  <c r="B41" i="12"/>
  <c r="G40" i="12"/>
  <c r="F40" i="12"/>
  <c r="E40" i="12"/>
  <c r="D40" i="12"/>
  <c r="C40" i="12"/>
  <c r="B40" i="12"/>
  <c r="G39" i="12"/>
  <c r="F39" i="12"/>
  <c r="E39" i="12"/>
  <c r="D39" i="12"/>
  <c r="C39" i="12"/>
  <c r="B39" i="12"/>
  <c r="G38" i="12"/>
  <c r="F38" i="12"/>
  <c r="E38" i="12"/>
  <c r="D38" i="12"/>
  <c r="C38" i="12"/>
  <c r="B38" i="12"/>
  <c r="G37" i="12"/>
  <c r="F37" i="12"/>
  <c r="E37" i="12"/>
  <c r="D37" i="12"/>
  <c r="C37" i="12"/>
  <c r="B37" i="12"/>
  <c r="G36" i="12"/>
  <c r="F36" i="12"/>
  <c r="E36" i="12"/>
  <c r="D36" i="12"/>
  <c r="C36" i="12"/>
  <c r="B36" i="12"/>
  <c r="G31" i="12"/>
  <c r="F31" i="12"/>
  <c r="E31" i="12"/>
  <c r="D31" i="12"/>
  <c r="C31" i="12"/>
  <c r="B31" i="12"/>
  <c r="G30" i="12"/>
  <c r="F30" i="12"/>
  <c r="E30" i="12"/>
  <c r="D30" i="12"/>
  <c r="C30" i="12"/>
  <c r="B30" i="12"/>
  <c r="G29" i="12"/>
  <c r="F29" i="12"/>
  <c r="E29" i="12"/>
  <c r="D29" i="12"/>
  <c r="C29" i="12"/>
  <c r="B29" i="12"/>
  <c r="G28" i="12"/>
  <c r="F28" i="12"/>
  <c r="E28" i="12"/>
  <c r="D28" i="12"/>
  <c r="C28" i="12"/>
  <c r="B28" i="12"/>
  <c r="G27" i="12"/>
  <c r="F27" i="12"/>
  <c r="E27" i="12"/>
  <c r="D27" i="12"/>
  <c r="C27" i="12"/>
  <c r="B27" i="12"/>
  <c r="G26" i="12"/>
  <c r="F26" i="12"/>
  <c r="E26" i="12"/>
  <c r="D26" i="12"/>
  <c r="C26" i="12"/>
  <c r="B26" i="12"/>
  <c r="G25" i="12"/>
  <c r="F25" i="12"/>
  <c r="E25" i="12"/>
  <c r="D25" i="12"/>
  <c r="C25" i="12"/>
  <c r="B25" i="12"/>
  <c r="G24" i="12"/>
  <c r="F24" i="12"/>
  <c r="E24" i="12"/>
  <c r="D24" i="12"/>
  <c r="C24" i="12"/>
  <c r="B24" i="12"/>
  <c r="G23" i="12"/>
  <c r="F23" i="12"/>
  <c r="E23" i="12"/>
  <c r="D23" i="12"/>
  <c r="C23" i="12"/>
  <c r="B23" i="12"/>
  <c r="G22" i="12"/>
  <c r="F22" i="12"/>
  <c r="E22" i="12"/>
  <c r="D22" i="12"/>
  <c r="C22" i="12"/>
  <c r="B22" i="12"/>
  <c r="G21" i="12"/>
  <c r="F21" i="12"/>
  <c r="E21" i="12"/>
  <c r="D21" i="12"/>
  <c r="C21" i="12"/>
  <c r="B21" i="12"/>
  <c r="G20" i="12"/>
  <c r="F20" i="12"/>
  <c r="E20" i="12"/>
  <c r="D20" i="12"/>
  <c r="C20" i="12"/>
  <c r="B20" i="12"/>
  <c r="G19" i="12"/>
  <c r="F19" i="12"/>
  <c r="E19" i="12"/>
  <c r="D19" i="12"/>
  <c r="C19" i="12"/>
  <c r="B19" i="12"/>
  <c r="G18" i="12"/>
  <c r="F18" i="12"/>
  <c r="E18" i="12"/>
  <c r="D18" i="12"/>
  <c r="C18" i="12"/>
  <c r="B18" i="12"/>
  <c r="G17" i="12"/>
  <c r="F17" i="12"/>
  <c r="E17" i="12"/>
  <c r="D17" i="12"/>
  <c r="C17" i="12"/>
  <c r="B17" i="12"/>
  <c r="G16" i="12"/>
  <c r="F16" i="12"/>
  <c r="E16" i="12"/>
  <c r="D16" i="12"/>
  <c r="C16" i="12"/>
  <c r="B16" i="12"/>
  <c r="G15" i="12"/>
  <c r="F15" i="12"/>
  <c r="E15" i="12"/>
  <c r="D15" i="12"/>
  <c r="C15" i="12"/>
  <c r="B15" i="12"/>
  <c r="G14" i="12"/>
  <c r="F14" i="12"/>
  <c r="E14" i="12"/>
  <c r="D14" i="12"/>
  <c r="C14" i="12"/>
  <c r="B14" i="12"/>
  <c r="G13" i="12"/>
  <c r="F13" i="12"/>
  <c r="E13" i="12"/>
  <c r="D13" i="12"/>
  <c r="C13" i="12"/>
  <c r="B13" i="12"/>
  <c r="G12" i="12"/>
  <c r="F12" i="12"/>
  <c r="E12" i="12"/>
  <c r="D12" i="12"/>
  <c r="C12" i="12"/>
  <c r="B12" i="12"/>
  <c r="G11" i="12"/>
  <c r="F11" i="12"/>
  <c r="E11" i="12"/>
  <c r="D11" i="12"/>
  <c r="C11" i="12"/>
  <c r="B11" i="12"/>
  <c r="G10" i="12"/>
  <c r="F10" i="12"/>
  <c r="E10" i="12"/>
  <c r="D10" i="12"/>
  <c r="C10" i="12"/>
  <c r="B10" i="12"/>
  <c r="G9" i="12"/>
  <c r="F9" i="12"/>
  <c r="E9" i="12"/>
  <c r="D9" i="12"/>
  <c r="C9" i="12"/>
  <c r="B9" i="12"/>
  <c r="G8" i="12"/>
  <c r="F8" i="12"/>
  <c r="E8" i="12"/>
  <c r="D8" i="12"/>
  <c r="C8" i="12"/>
  <c r="B8" i="12"/>
  <c r="G7" i="12"/>
  <c r="F7" i="12"/>
  <c r="E7" i="12"/>
  <c r="D7" i="12"/>
  <c r="C7" i="12"/>
  <c r="B7" i="12"/>
  <c r="G6" i="12"/>
  <c r="F6" i="12"/>
  <c r="E6" i="12"/>
  <c r="D6" i="12"/>
  <c r="C6" i="12"/>
  <c r="B6" i="12"/>
  <c r="H26" i="11"/>
  <c r="H27" i="11"/>
  <c r="H28" i="11"/>
  <c r="H29" i="11"/>
  <c r="H30" i="11"/>
  <c r="H22" i="11"/>
  <c r="H6" i="11"/>
  <c r="I6" i="11"/>
  <c r="H7" i="11"/>
  <c r="I7" i="11"/>
  <c r="H8" i="11"/>
  <c r="I8" i="11"/>
  <c r="H9" i="11"/>
  <c r="I9" i="11"/>
  <c r="H10" i="11"/>
  <c r="I10" i="11"/>
  <c r="H11" i="11"/>
  <c r="I11" i="11"/>
  <c r="H12" i="11"/>
  <c r="I12" i="11"/>
  <c r="H13" i="11"/>
  <c r="I13" i="11"/>
  <c r="H14" i="11"/>
  <c r="I14" i="11"/>
  <c r="H15" i="11"/>
  <c r="I15" i="11"/>
  <c r="H16" i="11"/>
  <c r="I16" i="11"/>
  <c r="H17" i="11"/>
  <c r="I17" i="11"/>
  <c r="H18" i="11"/>
  <c r="I18" i="11"/>
  <c r="H19" i="11"/>
  <c r="I19" i="11"/>
  <c r="H20" i="11"/>
  <c r="I20" i="11"/>
  <c r="H21" i="11"/>
  <c r="I21" i="11"/>
  <c r="C61" i="11"/>
  <c r="D62" i="11"/>
  <c r="C63" i="11"/>
  <c r="H25" i="10"/>
  <c r="H26" i="10"/>
  <c r="H27" i="10"/>
  <c r="H28" i="10"/>
  <c r="H29" i="10"/>
  <c r="H21" i="10"/>
  <c r="H6" i="10"/>
  <c r="I6" i="10"/>
  <c r="H7" i="10"/>
  <c r="I7" i="10"/>
  <c r="H8" i="10"/>
  <c r="I8" i="10"/>
  <c r="H9" i="10"/>
  <c r="I9" i="10"/>
  <c r="H10" i="10"/>
  <c r="I10" i="10"/>
  <c r="H11" i="10"/>
  <c r="I11" i="10"/>
  <c r="H12" i="10"/>
  <c r="I12" i="10"/>
  <c r="H13" i="10"/>
  <c r="I13" i="10"/>
  <c r="H14" i="10"/>
  <c r="I14" i="10"/>
  <c r="H15" i="10"/>
  <c r="I15" i="10"/>
  <c r="H16" i="10"/>
  <c r="I16" i="10"/>
  <c r="H17" i="10"/>
  <c r="I17" i="10"/>
  <c r="H18" i="10"/>
  <c r="I18" i="10"/>
  <c r="H19" i="10"/>
  <c r="I19" i="10"/>
  <c r="H20" i="10"/>
  <c r="I20" i="10"/>
  <c r="C61" i="10"/>
  <c r="D62" i="10"/>
  <c r="C63" i="10"/>
  <c r="H25" i="9"/>
  <c r="H26" i="9"/>
  <c r="H27" i="9"/>
  <c r="H28" i="9"/>
  <c r="H29" i="9"/>
  <c r="H30" i="9"/>
  <c r="H31" i="9"/>
  <c r="H6" i="9"/>
  <c r="I6" i="9"/>
  <c r="H7" i="9"/>
  <c r="I7" i="9"/>
  <c r="H8" i="9"/>
  <c r="I8" i="9"/>
  <c r="H9" i="9"/>
  <c r="I9" i="9"/>
  <c r="H10" i="9"/>
  <c r="I10" i="9"/>
  <c r="H11" i="9"/>
  <c r="I11" i="9"/>
  <c r="H12" i="9"/>
  <c r="I12" i="9"/>
  <c r="H13" i="9"/>
  <c r="I13" i="9"/>
  <c r="H14" i="9"/>
  <c r="I14" i="9"/>
  <c r="H15" i="9"/>
  <c r="I15" i="9"/>
  <c r="H16" i="9"/>
  <c r="I16" i="9"/>
  <c r="H17" i="9"/>
  <c r="I17" i="9"/>
  <c r="H18" i="9"/>
  <c r="I18" i="9"/>
  <c r="H19" i="9"/>
  <c r="I19" i="9"/>
  <c r="H20" i="9"/>
  <c r="I20" i="9"/>
  <c r="H21" i="9"/>
  <c r="I21" i="9"/>
  <c r="C77" i="9"/>
  <c r="D78" i="9"/>
  <c r="C79" i="9"/>
  <c r="H29" i="7"/>
  <c r="H30" i="7"/>
  <c r="H31" i="7"/>
  <c r="H32" i="7"/>
  <c r="H33" i="7"/>
  <c r="H6" i="7"/>
  <c r="I6" i="7"/>
  <c r="H7" i="7"/>
  <c r="I7" i="7"/>
  <c r="H8" i="7"/>
  <c r="I8" i="7"/>
  <c r="H9" i="7"/>
  <c r="I9" i="7"/>
  <c r="H10" i="7"/>
  <c r="I10" i="7"/>
  <c r="H11" i="7"/>
  <c r="I11" i="7"/>
  <c r="H12" i="7"/>
  <c r="I12" i="7"/>
  <c r="H13" i="7"/>
  <c r="I13" i="7"/>
  <c r="H14" i="7"/>
  <c r="I14" i="7"/>
  <c r="H15" i="7"/>
  <c r="I15" i="7"/>
  <c r="H16" i="7"/>
  <c r="I16" i="7"/>
  <c r="H17" i="7"/>
  <c r="I17" i="7"/>
  <c r="H18" i="7"/>
  <c r="I18" i="7"/>
  <c r="H19" i="7"/>
  <c r="I19" i="7"/>
  <c r="H20" i="7"/>
  <c r="I20" i="7"/>
  <c r="H21" i="7"/>
  <c r="I21" i="7"/>
  <c r="H22" i="7"/>
  <c r="I22" i="7"/>
  <c r="H23" i="7"/>
  <c r="I23" i="7"/>
  <c r="H24" i="7"/>
  <c r="I24" i="7"/>
  <c r="H25" i="7"/>
  <c r="I25" i="7"/>
  <c r="C83" i="7"/>
  <c r="D84" i="7"/>
  <c r="C85" i="7"/>
  <c r="H28" i="5"/>
  <c r="H27" i="5"/>
  <c r="H26" i="5"/>
  <c r="H25" i="5"/>
  <c r="H24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C64" i="5"/>
  <c r="D63" i="5"/>
  <c r="C62" i="5"/>
  <c r="D23" i="2"/>
  <c r="M55" i="15" l="1"/>
  <c r="G29" i="15"/>
  <c r="L40" i="15"/>
  <c r="T5" i="15"/>
  <c r="L39" i="15"/>
  <c r="T4" i="15"/>
  <c r="L38" i="15"/>
  <c r="T3" i="15"/>
  <c r="L37" i="15"/>
  <c r="T2" i="15"/>
  <c r="B40" i="15"/>
  <c r="D40" i="15"/>
  <c r="C31" i="15"/>
  <c r="B38" i="15"/>
  <c r="B39" i="15"/>
  <c r="D39" i="15" s="1"/>
  <c r="Q16" i="15"/>
  <c r="E12" i="15"/>
  <c r="E11" i="15"/>
  <c r="B35" i="15" l="1"/>
  <c r="D35" i="15" s="1"/>
  <c r="B36" i="15"/>
  <c r="D36" i="15" s="1"/>
  <c r="B43" i="15"/>
  <c r="D43" i="15" s="1"/>
  <c r="D31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Priscila Palomo</author>
    <author>tc={5255A44B-89D3-4E1F-9305-1FE9A926C4FA}</author>
  </authors>
  <commentList>
    <comment ref="B15" authorId="0" shapeId="0" xr:uid="{EA1AA695-A6D1-4070-A2AA-7F1874D4B537}">
      <text>
        <r>
          <rPr>
            <sz val="10"/>
            <color rgb="FF000000"/>
            <rFont val="Times New Roman"/>
            <charset val="204"/>
          </rPr>
          <t>Priscila Palomo:
Pedido de reconsideracao da consulta do joao feito dia 09.06.26</t>
        </r>
      </text>
    </comment>
    <comment ref="B39" authorId="0" shapeId="0" xr:uid="{69B0B65E-8602-4C18-B1C6-9906715DF9AE}">
      <text>
        <r>
          <rPr>
            <sz val="10"/>
            <color rgb="FF000000"/>
            <rFont val="Times New Roman"/>
            <charset val="204"/>
          </rPr>
          <t>Priscila Palomo:
Pedido de reconsideracao na cigna dia 09/06/26</t>
        </r>
      </text>
    </comment>
    <comment ref="O66" authorId="1" shapeId="0" xr:uid="{5255A44B-89D3-4E1F-9305-1FE9A926C4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essa nota fiscal pedir para sino para pegar na nota fiscal paulista pq esta no nome dela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<sst xmlns="http://schemas.openxmlformats.org/spreadsheetml/2006/main" count="1813" uniqueCount="639">
  <si>
    <t>📊 DASHBOARD FINANCEIRO COMPLETO - FAMÍLIA PALOMO</t>
  </si>
  <si>
    <t>Mês</t>
  </si>
  <si>
    <t>Entradas</t>
  </si>
  <si>
    <t>Saídas</t>
  </si>
  <si>
    <t>Paciente</t>
  </si>
  <si>
    <t>Reembolso</t>
  </si>
  <si>
    <t>Período: Janeiro a Maio/2026 | Conta: Ag 3767 | CC 29709-0 | Itaú Personnalité | Atualizado: 19/06/2026</t>
  </si>
  <si>
    <t>Jan</t>
  </si>
  <si>
    <t>Priscila</t>
  </si>
  <si>
    <t>Fev</t>
  </si>
  <si>
    <t>João</t>
  </si>
  <si>
    <t>💰 RESUMO FINANCEIRO MENSAL</t>
  </si>
  <si>
    <t>🏥 REEMBOLSOS MÉDICOS - CIGNA/McKINSEY</t>
  </si>
  <si>
    <t>Mar</t>
  </si>
  <si>
    <t>Ana Luisa</t>
  </si>
  <si>
    <t>Saldo Inicial</t>
  </si>
  <si>
    <t>Saldo Mov.</t>
  </si>
  <si>
    <t>Saldo Final</t>
  </si>
  <si>
    <t>Investimentos</t>
  </si>
  <si>
    <t>Var. %</t>
  </si>
  <si>
    <t>📈 Resumo Geral</t>
  </si>
  <si>
    <t>Luisa</t>
  </si>
  <si>
    <t>Janeiro/26</t>
  </si>
  <si>
    <t>Total Claims</t>
  </si>
  <si>
    <t>Valor Médio/Claim</t>
  </si>
  <si>
    <t>Fevereiro/26</t>
  </si>
  <si>
    <t>Valor Solicitado</t>
  </si>
  <si>
    <t>Maior Reembolso</t>
  </si>
  <si>
    <t>Março/26</t>
  </si>
  <si>
    <t>Total Reembolsado</t>
  </si>
  <si>
    <t>Taxa Cobertura</t>
  </si>
  <si>
    <t>Abril/26</t>
  </si>
  <si>
    <t>Diferença (Glosas)</t>
  </si>
  <si>
    <t>Abr</t>
  </si>
  <si>
    <t>Maio/26</t>
  </si>
  <si>
    <t>Mai</t>
  </si>
  <si>
    <t>TOTAL</t>
  </si>
  <si>
    <t>👥 Por Beneficiário</t>
  </si>
  <si>
    <t>Cartão</t>
  </si>
  <si>
    <t>MÉDIA MENSAL</t>
  </si>
  <si>
    <t>Claims</t>
  </si>
  <si>
    <t>Solicitado</t>
  </si>
  <si>
    <t>Reembolsado</t>
  </si>
  <si>
    <t>% Cobertura</t>
  </si>
  <si>
    <t>Escola</t>
  </si>
  <si>
    <t>Financiamento</t>
  </si>
  <si>
    <t>📊 TOP 15 CATEGORIAS DE GASTOS (Jan-Mai)</t>
  </si>
  <si>
    <t>🏠 ANÁLISE GASTOS FIXOS vs VARIÁVEIS</t>
  </si>
  <si>
    <t>João Guilherme</t>
  </si>
  <si>
    <t>#</t>
  </si>
  <si>
    <t>Categoria</t>
  </si>
  <si>
    <t>Total Gasto</t>
  </si>
  <si>
    <t>% Total</t>
  </si>
  <si>
    <t>Tipo</t>
  </si>
  <si>
    <t>Total 5 Meses</t>
  </si>
  <si>
    <t>Média/Mês</t>
  </si>
  <si>
    <t>Investimento</t>
  </si>
  <si>
    <t>Luisa Juliana</t>
  </si>
  <si>
    <t>Transferência Interna</t>
  </si>
  <si>
    <t>Condomínio</t>
  </si>
  <si>
    <t>Seguro</t>
  </si>
  <si>
    <t>🏥 Por Tipo de Serviço</t>
  </si>
  <si>
    <t>Subtotal Fixos</t>
  </si>
  <si>
    <t>Transferência</t>
  </si>
  <si>
    <t>Consulta</t>
  </si>
  <si>
    <t>Compras</t>
  </si>
  <si>
    <t>Terapia</t>
  </si>
  <si>
    <t>Terapia/Psicologia</t>
  </si>
  <si>
    <t>Alimentação</t>
  </si>
  <si>
    <t>Honorário</t>
  </si>
  <si>
    <t>Terapia/Saúde</t>
  </si>
  <si>
    <t>Cirurgia</t>
  </si>
  <si>
    <t>IPTU</t>
  </si>
  <si>
    <t>Subtotal Variáveis</t>
  </si>
  <si>
    <t>Outros</t>
  </si>
  <si>
    <t>TOTAL GASTOS REAIS</t>
  </si>
  <si>
    <t>Conta Luz</t>
  </si>
  <si>
    <t>🏢 TOP 5 PRESTADORES MÉDICOS</t>
  </si>
  <si>
    <t>Farmácia</t>
  </si>
  <si>
    <t>🎓 DESPESAS ESCOLARES - 2026</t>
  </si>
  <si>
    <t>Prestador</t>
  </si>
  <si>
    <t>Internet/TV</t>
  </si>
  <si>
    <t>Total Anual Previsto</t>
  </si>
  <si>
    <t>Dr. Luis Ricardo (cirurgia)</t>
  </si>
  <si>
    <t>Média Mensal (12 meses)</t>
  </si>
  <si>
    <t>Karine Saito Psicologia</t>
  </si>
  <si>
    <t>Saldo</t>
  </si>
  <si>
    <t>TOTAL SAÍDAS</t>
  </si>
  <si>
    <t>Pagamentos Realizados (Jan-Mai)</t>
  </si>
  <si>
    <t>Wendy Paola (Terapia)</t>
  </si>
  <si>
    <t>Média Efetiva (5 meses)</t>
  </si>
  <si>
    <t>Rogério Ribeiro (Terapia)</t>
  </si>
  <si>
    <t>📈 INDICADORES DE SAÚDE FINANCEIRA</t>
  </si>
  <si>
    <t>Diferença Prev. vs Real</t>
  </si>
  <si>
    <t>Outros (diversos)</t>
  </si>
  <si>
    <t>Indicador</t>
  </si>
  <si>
    <t>Valor</t>
  </si>
  <si>
    <t>Meta/Referência</t>
  </si>
  <si>
    <t>Status</t>
  </si>
  <si>
    <t>Qtd Pagamentos</t>
  </si>
  <si>
    <t>Saldo Acumulado (5 meses)</t>
  </si>
  <si>
    <t>Meta: &gt;R$10.000</t>
  </si>
  <si>
    <t>Próximo Vencimento</t>
  </si>
  <si>
    <t>01/Jul (mensal)</t>
  </si>
  <si>
    <t>Taxa de Poupança</t>
  </si>
  <si>
    <t>Meta: &gt;10%</t>
  </si>
  <si>
    <t>Média Entradas/Mês</t>
  </si>
  <si>
    <t>Referência</t>
  </si>
  <si>
    <t>📊 EVOLUÇÃO MENSAL - PRINCIPAIS GASTOS</t>
  </si>
  <si>
    <t>Média Saídas/Mês</t>
  </si>
  <si>
    <t>Jan-Fev</t>
  </si>
  <si>
    <t>Mar-Abr</t>
  </si>
  <si>
    <t>Comprometimento Fixos</t>
  </si>
  <si>
    <t>Meta: &lt;50%</t>
  </si>
  <si>
    <t>Total Investido</t>
  </si>
  <si>
    <t>Crescente</t>
  </si>
  <si>
    <t>Reembolsos Recebidos</t>
  </si>
  <si>
    <t>Glosas (Não Reembolsado)</t>
  </si>
  <si>
    <t>Minimizar</t>
  </si>
  <si>
    <t>Saldo Projetado Anual</t>
  </si>
  <si>
    <t>Projeção</t>
  </si>
  <si>
    <t>⚠️ ALERTAS E RECOMENDAÇÕES</t>
  </si>
  <si>
    <t>🔴 ATENÇÃO:</t>
  </si>
  <si>
    <t>• Financiamento imobiliário: ~R$6.400/mês (compromisso fixo relevante)</t>
  </si>
  <si>
    <t>• Meses com saldo negativo: Fevereiro e Maio (gastos &gt; entradas)</t>
  </si>
  <si>
    <t>• Glosas em reembolsos: R$6.572 não cobertos pela Cigna</t>
  </si>
  <si>
    <t>📅 PROJEÇÃO ANUAL 2026</t>
  </si>
  <si>
    <t>🟡 OBSERVAÇÕES:</t>
  </si>
  <si>
    <t>Métrica</t>
  </si>
  <si>
    <t>Realizado (5m)</t>
  </si>
  <si>
    <t>Projeção Anual</t>
  </si>
  <si>
    <t>Observação</t>
  </si>
  <si>
    <t>• Taxa de poupança atual ~5% - idealmente deveria ser &gt;10%</t>
  </si>
  <si>
    <t>Entradas Totais</t>
  </si>
  <si>
    <t>Mantendo média atual</t>
  </si>
  <si>
    <t>• Cartão de crédito é maior gasto variável - monitorar</t>
  </si>
  <si>
    <t>Saídas Totais</t>
  </si>
  <si>
    <t>• Claims pendentes de resposta da Cigna (em reconsideração)</t>
  </si>
  <si>
    <t>Saldo Projetado</t>
  </si>
  <si>
    <t>Se continuar assim</t>
  </si>
  <si>
    <t>Gastos c/ Escola</t>
  </si>
  <si>
    <t>Previsão anual</t>
  </si>
  <si>
    <t>🟢 POSITIVOS:</t>
  </si>
  <si>
    <t>Gastos c/ Financiamento</t>
  </si>
  <si>
    <t>Compromisso fixo</t>
  </si>
  <si>
    <t>• Saldo acumulado positivo de R$15.746 em 5 meses</t>
  </si>
  <si>
    <t>Reembolsos Esperados</t>
  </si>
  <si>
    <t>Estimativa</t>
  </si>
  <si>
    <t>• Investimentos de R$60.620 realizados no período</t>
  </si>
  <si>
    <t>Meta: dobrar</t>
  </si>
  <si>
    <t>• Taxa de cobertura média de reembolsos: 79%</t>
  </si>
  <si>
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</si>
  <si>
    <t>📋 Este dashboard consolida dados de: Extratos Bancários (Jan-Mai/26), Reembolsos Cigna, Despesas Escolares, Análise de Reembolsos</t>
  </si>
  <si>
    <t>💡 Todas as fórmulas referenciam as planilhas originais - alterações lá serão refletidas automaticamente aqui | Dashboard criado em 19/06/2026</t>
  </si>
  <si>
    <t>FUNCIONÁRIO</t>
  </si>
  <si>
    <t>PACIENTE</t>
  </si>
  <si>
    <t>PRESTADOR</t>
  </si>
  <si>
    <t>CNPJ/CPF</t>
  </si>
  <si>
    <t>TIPO</t>
  </si>
  <si>
    <t>DATA RECIBO</t>
  </si>
  <si>
    <t xml:space="preserve">VALOR </t>
  </si>
  <si>
    <t>reembolsado</t>
  </si>
  <si>
    <t>DIFERENÇA</t>
  </si>
  <si>
    <t>TOTAL REEMBOLSO</t>
  </si>
  <si>
    <t>COMENTÁRIO CIGNA</t>
  </si>
  <si>
    <t>DATA ACERTO FOLHA</t>
  </si>
  <si>
    <t>Nº CLAIM</t>
  </si>
  <si>
    <t>DOCUMENTO</t>
  </si>
  <si>
    <t>NOVO Nº CLAIM</t>
  </si>
  <si>
    <t>TEXTO RECONSIDERAÇÃO</t>
  </si>
  <si>
    <t>SITUAÇÃO</t>
  </si>
  <si>
    <t>Número da NF</t>
  </si>
  <si>
    <r>
      <rPr>
        <sz val="10"/>
        <color rgb="FF000000"/>
        <rFont val="Times New Roman"/>
        <family val="2"/>
        <charset val="204"/>
      </rPr>
      <t>LUISA JULIANA FARIA RAMALHO DE SO</t>
    </r>
  </si>
  <si>
    <t>Priscila da Silva Herbas Palomo</t>
  </si>
  <si>
    <r>
      <rPr>
        <sz val="10"/>
        <color rgb="FF000000"/>
        <rFont val="Times New Roman"/>
        <family val="2"/>
        <charset val="204"/>
      </rPr>
      <t>Wendy Paola Ramirez Molano</t>
    </r>
  </si>
  <si>
    <t>901.505.418-56</t>
  </si>
  <si>
    <r>
      <rPr>
        <sz val="10"/>
        <color rgb="FF000000"/>
        <rFont val="Times New Roman"/>
        <family val="2"/>
        <charset val="204"/>
      </rPr>
      <t>-</t>
    </r>
  </si>
  <si>
    <r>
      <rPr>
        <sz val="10"/>
        <color rgb="FF000000"/>
        <rFont val="Times New Roman"/>
        <family val="2"/>
        <charset val="204"/>
      </rPr>
      <t>The maximum benefit for this calendar
year has been paid</t>
    </r>
  </si>
  <si>
    <r>
      <rPr>
        <sz val="10"/>
        <color rgb="FF000000"/>
        <rFont val="Times New Roman"/>
        <family val="2"/>
        <charset val="204"/>
      </rPr>
      <t>ICC Clinica de Radiologia</t>
    </r>
  </si>
  <si>
    <t>27.256.678/0001-60</t>
  </si>
  <si>
    <t>Joao Guilherme Ramalho Palomo</t>
  </si>
  <si>
    <r>
      <rPr>
        <sz val="10"/>
        <color rgb="FF000000"/>
        <rFont val="Times New Roman"/>
        <family val="2"/>
        <charset val="204"/>
      </rPr>
      <t>Clinica de Pediatria Luna SS Ltda</t>
    </r>
  </si>
  <si>
    <t>592.377.448-89</t>
  </si>
  <si>
    <t>Ana Luisa Ramalho Palomo</t>
  </si>
  <si>
    <r>
      <rPr>
        <sz val="10"/>
        <color rgb="FF000000"/>
        <rFont val="Times New Roman"/>
        <family val="2"/>
        <charset val="204"/>
      </rPr>
      <t>Rogério Ribeiro de Sousa</t>
    </r>
  </si>
  <si>
    <t>112.844.728-25</t>
  </si>
  <si>
    <r>
      <rPr>
        <sz val="10"/>
        <color rgb="FF000000"/>
        <rFont val="Times New Roman"/>
        <family val="2"/>
        <charset val="204"/>
      </rPr>
      <t>Rogério Ribeiro de Souza</t>
    </r>
  </si>
  <si>
    <r>
      <rPr>
        <sz val="10"/>
        <color rgb="FF000000"/>
        <rFont val="Times New Roman"/>
        <family val="2"/>
        <charset val="204"/>
      </rPr>
      <t>Please send an itemized bill with future
claims</t>
    </r>
  </si>
  <si>
    <t>Luisa Juliana Faria Ramalho de Souza</t>
  </si>
  <si>
    <r>
      <rPr>
        <sz val="10"/>
        <color rgb="FF000000"/>
        <rFont val="Times New Roman"/>
        <family val="2"/>
        <charset val="204"/>
      </rPr>
      <t>This is a duplicate of a previously
processed claim</t>
    </r>
  </si>
  <si>
    <r>
      <rPr>
        <sz val="10"/>
        <color rgb="FF000000"/>
        <rFont val="Times New Roman"/>
        <family val="2"/>
        <charset val="204"/>
      </rPr>
      <t>Saude da Vila - Odontologia</t>
    </r>
  </si>
  <si>
    <t>37.239.181/0001-13</t>
  </si>
  <si>
    <r>
      <rPr>
        <sz val="10"/>
        <color rgb="FF000000"/>
        <rFont val="Times New Roman"/>
        <family val="2"/>
        <charset val="204"/>
      </rPr>
      <t>Minimum amount paid; itemized bill
not received</t>
    </r>
  </si>
  <si>
    <r>
      <rPr>
        <sz val="10"/>
        <color rgb="FF000000"/>
        <rFont val="Times New Roman"/>
        <family val="2"/>
        <charset val="204"/>
      </rPr>
      <t>Humanitas Instituto Integrado de Saud</t>
    </r>
  </si>
  <si>
    <t>14.301.335/0001-54</t>
  </si>
  <si>
    <r>
      <rPr>
        <sz val="10"/>
        <color rgb="FF000000"/>
        <rFont val="Times New Roman"/>
        <family val="2"/>
        <charset val="204"/>
      </rPr>
      <t>Ciresp Cirurgiões especializado sc ltda</t>
    </r>
  </si>
  <si>
    <t>01.183.539/0001-96</t>
  </si>
  <si>
    <r>
      <rPr>
        <sz val="10"/>
        <color rgb="FF000000"/>
        <rFont val="Times New Roman"/>
        <family val="2"/>
        <charset val="204"/>
      </rPr>
      <t>The maximum frequency limit for this
service has been met</t>
    </r>
  </si>
  <si>
    <t>Dr Ricardo Urologista Pediatra cirurgiao Joao Guilher.pdf</t>
  </si>
  <si>
    <t>reconsider the claim for client number ____ and classify it as a Medical Outpatient Physician Visit.</t>
  </si>
  <si>
    <t>aguardando resposta da cigna</t>
  </si>
  <si>
    <r>
      <rPr>
        <sz val="10"/>
        <color rgb="FF000000"/>
        <rFont val="Times New Roman"/>
        <family val="2"/>
        <charset val="204"/>
      </rPr>
      <t>Instituto de cirurgia Eduardo Akaishi</t>
    </r>
  </si>
  <si>
    <t>06.287.892/0001-30</t>
  </si>
  <si>
    <r>
      <rPr>
        <sz val="10"/>
        <color rgb="FF000000"/>
        <rFont val="Times New Roman"/>
        <family val="2"/>
        <charset val="204"/>
      </rPr>
      <t>Espaço Yuan Terapias LTDA.</t>
    </r>
  </si>
  <si>
    <t>54.111.192/0001-32</t>
  </si>
  <si>
    <r>
      <rPr>
        <sz val="10"/>
        <color rgb="FF000000"/>
        <rFont val="Times New Roman"/>
        <family val="2"/>
        <charset val="204"/>
      </rPr>
      <t>TKMO - Instituto Otorrino</t>
    </r>
  </si>
  <si>
    <t>10.234.758/0001-48</t>
  </si>
  <si>
    <r>
      <rPr>
        <sz val="10"/>
        <color rgb="FF000000"/>
        <rFont val="Times New Roman"/>
        <family val="2"/>
        <charset val="204"/>
      </rPr>
      <t>Espaço yuan terapias ltda</t>
    </r>
  </si>
  <si>
    <r>
      <rPr>
        <sz val="10"/>
        <color rgb="FF000000"/>
        <rFont val="Times New Roman"/>
        <family val="2"/>
        <charset val="204"/>
      </rPr>
      <t>Wendy Paola Ramírez Molano</t>
    </r>
  </si>
  <si>
    <r>
      <rPr>
        <sz val="10"/>
        <color rgb="FF000000"/>
        <rFont val="Times New Roman"/>
        <family val="2"/>
        <charset val="204"/>
      </rPr>
      <t>Instituto de Cirurgia Eduardo Akaishi</t>
    </r>
  </si>
  <si>
    <r>
      <rPr>
        <sz val="10"/>
        <color rgb="FF000000"/>
        <rFont val="Times New Roman"/>
        <family val="2"/>
        <charset val="204"/>
      </rPr>
      <t>KARINE SAITO PSICOLOGIA LTDA</t>
    </r>
  </si>
  <si>
    <t>49.361.486/0001-82</t>
  </si>
  <si>
    <r>
      <rPr>
        <sz val="10"/>
        <color rgb="FF000000"/>
        <rFont val="Times New Roman"/>
        <family val="2"/>
        <charset val="204"/>
      </rPr>
      <t>Humanitas Instituto Integrado de Saúd</t>
    </r>
  </si>
  <si>
    <r>
      <rPr>
        <sz val="10"/>
        <color rgb="FF000000"/>
        <rFont val="Times New Roman"/>
        <family val="2"/>
        <charset val="204"/>
      </rPr>
      <t>CLINICA DE PEDIATRIA LUNA S/S LTDA</t>
    </r>
  </si>
  <si>
    <t>LUISA JULIANA FARIA RAMALHO DE SO</t>
  </si>
  <si>
    <r>
      <rPr>
        <sz val="10"/>
        <color rgb="FF000000"/>
        <rFont val="Times New Roman"/>
        <family val="2"/>
        <charset val="204"/>
      </rPr>
      <t>LUCE E SANTOS SERVICOS MEDICOS LT</t>
    </r>
  </si>
  <si>
    <t>32.537.887/0001-48</t>
  </si>
  <si>
    <r>
      <rPr>
        <sz val="10"/>
        <color rgb="FF000000"/>
        <rFont val="Times New Roman"/>
        <family val="2"/>
        <charset val="204"/>
      </rPr>
      <t>Coverage based on info received;
service description missing</t>
    </r>
  </si>
  <si>
    <r>
      <rPr>
        <sz val="10"/>
        <color rgb="FF000000"/>
        <rFont val="Times New Roman"/>
        <family val="2"/>
        <charset val="204"/>
      </rPr>
      <t>Alvo Clínica Médica S/S</t>
    </r>
  </si>
  <si>
    <t>31.030.262/0001-22</t>
  </si>
  <si>
    <r>
      <rPr>
        <sz val="10"/>
        <color rgb="FF000000"/>
        <rFont val="Times New Roman"/>
        <family val="2"/>
        <charset val="204"/>
      </rPr>
      <t>SOCIEDADE BENEF ISRAELITABRAS HOS</t>
    </r>
  </si>
  <si>
    <t>60.765.823/0039-02</t>
  </si>
  <si>
    <t>60.765.823/0012-92</t>
  </si>
  <si>
    <t>Please send an itemized bill with future
claims</t>
  </si>
  <si>
    <t>Dr. Andre Luis para Joao Guilherme.pdf</t>
  </si>
  <si>
    <t xml:space="preserve">aguardando resposta da cigna </t>
  </si>
  <si>
    <t>Alvo Clínica Médica S/S</t>
  </si>
  <si>
    <t>enviado ao HR</t>
  </si>
  <si>
    <t>Ciresp Cirurgiões especializado sc ltda</t>
  </si>
  <si>
    <t>Dr Ricardo Urologista Pediatra cirurgiao Joao Guilher</t>
  </si>
  <si>
    <t>LUISA JULIANA FARIA RAMALHO DE SOUZA</t>
  </si>
  <si>
    <t>João Guilherme Ramalho Palomo</t>
  </si>
  <si>
    <t>MCAVALCANTECOSTA CONSULTAS EXAMES E CONSULTORIA MEDICA LTDA</t>
  </si>
  <si>
    <t>41.571.578/0001-85</t>
  </si>
  <si>
    <t>0,01</t>
  </si>
  <si>
    <t>499,99</t>
  </si>
  <si>
    <t>16/04/2026</t>
  </si>
  <si>
    <t>Espaço yuan terapias ltda</t>
  </si>
  <si>
    <t>54111192000132</t>
  </si>
  <si>
    <t>103,95</t>
  </si>
  <si>
    <t>416,05</t>
  </si>
  <si>
    <t>oticas kostov mero ltda</t>
  </si>
  <si>
    <t>54029638000184</t>
  </si>
  <si>
    <t>product</t>
  </si>
  <si>
    <t>157,63</t>
  </si>
  <si>
    <t>630,37</t>
  </si>
  <si>
    <t>57,98</t>
  </si>
  <si>
    <t>232,02</t>
  </si>
  <si>
    <t>RAIADROGASIL S.A.</t>
  </si>
  <si>
    <t>PRODUCT</t>
  </si>
  <si>
    <t>1.767,54</t>
  </si>
  <si>
    <t>1.767,49</t>
  </si>
  <si>
    <t>0,05</t>
  </si>
  <si>
    <t>This service is not covered under your medical plan.</t>
  </si>
  <si>
    <t>29/01/2026</t>
  </si>
  <si>
    <t>Luisa Souza</t>
  </si>
  <si>
    <t>Rogério Ribeiro de Sousa</t>
  </si>
  <si>
    <t>CONSULTATION</t>
  </si>
  <si>
    <t>135,97</t>
  </si>
  <si>
    <t>544,03</t>
  </si>
  <si>
    <t>Please send an itemized bill with future claims</t>
  </si>
  <si>
    <t>SAUDE DA VILLA - SERVICOS DE SAUDE E BEM ESTAR LTDA</t>
  </si>
  <si>
    <t>144,97</t>
  </si>
  <si>
    <t>435,03</t>
  </si>
  <si>
    <t>Coverage based on info received; service description missing</t>
  </si>
  <si>
    <t>Drogaria São Paulo</t>
  </si>
  <si>
    <t>620,48</t>
  </si>
  <si>
    <t>184,51</t>
  </si>
  <si>
    <t>435,97</t>
  </si>
  <si>
    <t>Vitamins, fluoride, and/or nutritional aids are not covered</t>
  </si>
  <si>
    <t>KARINE SAITO PSICOLOGIA LTDA</t>
  </si>
  <si>
    <t>4.000,00</t>
  </si>
  <si>
    <t>-0,02</t>
  </si>
  <si>
    <t>4.000,02</t>
  </si>
  <si>
    <t>Explanation of Benefits12.pdf</t>
  </si>
  <si>
    <t>0,03</t>
  </si>
  <si>
    <t>799,97</t>
  </si>
  <si>
    <t>Explanation of Benefits9.pdf</t>
  </si>
  <si>
    <t>CLINICA DE PEDIATRIA LUNA S/S LTDA</t>
  </si>
  <si>
    <t>138,02</t>
  </si>
  <si>
    <t>551,98</t>
  </si>
  <si>
    <t>30/03/2026</t>
  </si>
  <si>
    <t>Explanation of Benefits10.pdf</t>
  </si>
  <si>
    <t>ICC CLINICA DE RADIOLOGIA E DIAGNOSTICOS POR IMAGEM LTDA</t>
  </si>
  <si>
    <t>0,02</t>
  </si>
  <si>
    <t>47,98</t>
  </si>
  <si>
    <t>3.200,00</t>
  </si>
  <si>
    <t>Fabiane Alotti Serviços Ltda</t>
  </si>
  <si>
    <t>1.400,00</t>
  </si>
  <si>
    <t>-</t>
  </si>
  <si>
    <t>29/04/2026</t>
  </si>
  <si>
    <t>F201 SOCIEDADE BENEF ISRAELITABRAS HOSPITAL ALBERT EINSTEIN</t>
  </si>
  <si>
    <t>334,32</t>
  </si>
  <si>
    <t>This is a duplicate of a previously processed claim</t>
  </si>
  <si>
    <t>ESPAÇO YUAN TERAPIAS LTDA</t>
  </si>
  <si>
    <t>168,02</t>
  </si>
  <si>
    <t>671,98</t>
  </si>
  <si>
    <r>
      <rPr>
        <sz val="10"/>
        <color rgb="FF000000"/>
        <rFont val="Times New Roman"/>
        <family val="2"/>
        <charset val="204"/>
      </rPr>
      <t>Priscila da Silva Herbas Palomo</t>
    </r>
  </si>
  <si>
    <t>Instituto de cirurgia Eduardo Akaishi</t>
  </si>
  <si>
    <t>28/04/2026</t>
  </si>
  <si>
    <t>NFleonardo - PRISCILAja pedi no cigna 25.05.26.pdf</t>
  </si>
  <si>
    <t>27/05/2026</t>
  </si>
  <si>
    <t>dr. Marcelo Cavalcante Costa Oftaumologista Joao.pdf</t>
  </si>
  <si>
    <t>LUIS ANTHERO RUGONI PELOSO</t>
  </si>
  <si>
    <t>30.049.789/0001-36</t>
  </si>
  <si>
    <t>29/05/2026</t>
  </si>
  <si>
    <t>500,00</t>
  </si>
  <si>
    <t>Dr Luis Anthero Rugoni Peloso pdf.pdf</t>
  </si>
  <si>
    <t>Fabiane Aliotti Servicos medicos LTDA</t>
  </si>
  <si>
    <t>50.706.896/0001-05</t>
  </si>
  <si>
    <t>Dra Fabiane - Ana Luisa.pdf</t>
  </si>
  <si>
    <t>799,99</t>
  </si>
  <si>
    <t>dr marcelo cavalcante costa joao guilherme.pdf</t>
  </si>
  <si>
    <t>dr marcelo cavalcante costa analuisa consulta.pdf</t>
  </si>
  <si>
    <t>Link: 1drv.ms/b/c/141e5f921a6b48d1/IQD6evftI5mQT...</t>
  </si>
  <si>
    <t>Fleury S.A.</t>
  </si>
  <si>
    <t>60.840.055/0359-46</t>
  </si>
  <si>
    <t>pedido de exames medicos Dr Luis Anthero Rugoni Peloso para Priscila Palomo.pdf</t>
  </si>
  <si>
    <t>fleury ecames de sanguepriscila palomo.pdf</t>
  </si>
  <si>
    <t>DROGARIA X FARMACIA</t>
  </si>
  <si>
    <t>68.031.475/0003-40</t>
  </si>
  <si>
    <t>remedios</t>
  </si>
  <si>
    <t>Documento Farmácia (OneDrive)</t>
  </si>
  <si>
    <t>receita dr leonardo priscila.pdf</t>
  </si>
  <si>
    <t>enviar novamente com a nf correta pegar no cpf da luisa nota fiscal paulista</t>
  </si>
  <si>
    <t>Pequenos hormônios serviços medicos ltda</t>
  </si>
  <si>
    <t>58.252.477/0001-44</t>
  </si>
  <si>
    <t>Pequenos hormonios servicos medicos.pdf</t>
  </si>
  <si>
    <t>enado a cigna</t>
  </si>
  <si>
    <t>Explanation of Benefits11.pdf</t>
  </si>
  <si>
    <t>priscila da silva herbas palomo</t>
  </si>
  <si>
    <t>physical therapy</t>
  </si>
  <si>
    <t>consulta</t>
  </si>
  <si>
    <t>Roda viva</t>
  </si>
  <si>
    <t>Oliver</t>
  </si>
  <si>
    <t>05/dec</t>
  </si>
  <si>
    <t>Total por 2</t>
  </si>
  <si>
    <t>📊 EXTRATO BANCÁRIO - JANEIRO/2026</t>
  </si>
  <si>
    <t>Conta: Ag 3767 | CC 29709-0 | Itaú Personnalité</t>
  </si>
  <si>
    <t>📈 RESUMO DO MÊS</t>
  </si>
  <si>
    <t>📊 ANÁLISE POR CATEGORIA</t>
  </si>
  <si>
    <t>Saldo Inicial (31/12)</t>
  </si>
  <si>
    <t>Saídas (R$)</t>
  </si>
  <si>
    <t>% do Total</t>
  </si>
  <si>
    <t>Saldo Final C/C</t>
  </si>
  <si>
    <t>Saldo Aplic Aut Mais</t>
  </si>
  <si>
    <t>Saldo Final Total</t>
  </si>
  <si>
    <t>Saldo Poupança</t>
  </si>
  <si>
    <t>Total Investimentos</t>
  </si>
  <si>
    <t>Serviços</t>
  </si>
  <si>
    <t>Data</t>
  </si>
  <si>
    <t>Descrição</t>
  </si>
  <si>
    <t>Entradas (R$)</t>
  </si>
  <si>
    <t>Telefone</t>
  </si>
  <si>
    <t>PIX QRS CIRANDA BER</t>
  </si>
  <si>
    <t>PIX TRANSF Ana Cam</t>
  </si>
  <si>
    <t>Cartão Personnalité</t>
  </si>
  <si>
    <t>Pers Black 3608-7306</t>
  </si>
  <si>
    <t>TBI Poupança</t>
  </si>
  <si>
    <t>DA ELETROPAULO</t>
  </si>
  <si>
    <t>INT Pag Tít 237</t>
  </si>
  <si>
    <t>Pagamento</t>
  </si>
  <si>
    <t>VIVO-SP</t>
  </si>
  <si>
    <t>PIX QRS AMAZON</t>
  </si>
  <si>
    <t>PIX TRANSF MARCIA</t>
  </si>
  <si>
    <t>💰 ENTRADAS</t>
  </si>
  <si>
    <t>Valor (R$)</t>
  </si>
  <si>
    <t>PIX TRANSF PRISCILA</t>
  </si>
  <si>
    <t>Recebimento</t>
  </si>
  <si>
    <t>Salário</t>
  </si>
  <si>
    <t>DA CLARO</t>
  </si>
  <si>
    <t>Recebimento (PIX Priscila)</t>
  </si>
  <si>
    <t>PIX TRANSF BABY VI</t>
  </si>
  <si>
    <t>Reembolso McKinsey</t>
  </si>
  <si>
    <t>TED McKINSEY</t>
  </si>
  <si>
    <t>Transf. Interna (Poupança)</t>
  </si>
  <si>
    <t>PIX QRS RAIA DROGASIL</t>
  </si>
  <si>
    <t>Devolução</t>
  </si>
  <si>
    <t>PIX TRANSF SABRINA</t>
  </si>
  <si>
    <t>PIX QRS CASA SANTO</t>
  </si>
  <si>
    <t>PIX TRANSF NATHALI</t>
  </si>
  <si>
    <t>INT Pag Tít (Escola)</t>
  </si>
  <si>
    <t>PIX QRS Pagar Me</t>
  </si>
  <si>
    <t>PIX TRANSF MARIANA</t>
  </si>
  <si>
    <t>15/01</t>
  </si>
  <si>
    <t>Financ Imobiliário 034</t>
  </si>
  <si>
    <t>DEV PIX Marketp</t>
  </si>
  <si>
    <t>16/01</t>
  </si>
  <si>
    <t>Déb Autor PORTO SEG VIDA</t>
  </si>
  <si>
    <t>PIX QRS Ciranda Ber (Poup)</t>
  </si>
  <si>
    <t>19/01</t>
  </si>
  <si>
    <t>PIX QRS DELICIA DE</t>
  </si>
  <si>
    <t>22/01</t>
  </si>
  <si>
    <t>PAY diversos</t>
  </si>
  <si>
    <t>24/01</t>
  </si>
  <si>
    <t>27/01</t>
  </si>
  <si>
    <t>PIX QRS Marketp</t>
  </si>
  <si>
    <t>28/01</t>
  </si>
  <si>
    <t>Remuneração/Salário</t>
  </si>
  <si>
    <t>29/01</t>
  </si>
  <si>
    <t>PIX TRANSF FULLTEC</t>
  </si>
  <si>
    <t>30/01</t>
  </si>
  <si>
    <t>PIX TRANSF ADRIANA</t>
  </si>
  <si>
    <t>PIX TRANSF Flavia</t>
  </si>
  <si>
    <t>PIX TRANSF KARINE</t>
  </si>
  <si>
    <t>📊 TOTAIS</t>
  </si>
  <si>
    <t>Total Entradas:</t>
  </si>
  <si>
    <t>Total Saídas:</t>
  </si>
  <si>
    <t>Saldo Movimento:</t>
  </si>
  <si>
    <t>📊 EXTRATO BANCÁRIO - MARÇO/2026</t>
  </si>
  <si>
    <t>Saldo Inicial (28/02)</t>
  </si>
  <si>
    <t>PIX QRS CIRANDA BER (Escola)</t>
  </si>
  <si>
    <t>Aplicação COFRINHOS</t>
  </si>
  <si>
    <t>TBI Poupança (rendimento)</t>
  </si>
  <si>
    <t>Rendimento</t>
  </si>
  <si>
    <t>Estacionamento</t>
  </si>
  <si>
    <t>Transporte</t>
  </si>
  <si>
    <t>PAG BOLETO CONDOMINIO</t>
  </si>
  <si>
    <t>PIX TRANSF MEL NIG</t>
  </si>
  <si>
    <t>Recebimento (PIX Priscila e outros)</t>
  </si>
  <si>
    <t>PIX QRS SECRETARIA (IPTU)</t>
  </si>
  <si>
    <t>PIX QRS SHPP BRASIL</t>
  </si>
  <si>
    <t>Transferência Interna (Poupança)</t>
  </si>
  <si>
    <t>PIX TRANSF BARBARA</t>
  </si>
  <si>
    <t>TOTAL ENTRADAS</t>
  </si>
  <si>
    <t>PIX TRANSF FABIANE</t>
  </si>
  <si>
    <t>PIX TRANSF PATRICIA</t>
  </si>
  <si>
    <t>13/03</t>
  </si>
  <si>
    <t>PIX QRS ZOOP BRASIL</t>
  </si>
  <si>
    <t>14/03</t>
  </si>
  <si>
    <t>PIX QRS G1 ESTACION</t>
  </si>
  <si>
    <t>16/03</t>
  </si>
  <si>
    <t>Lançamento a Débito</t>
  </si>
  <si>
    <t>PIX QRS 53.946.366</t>
  </si>
  <si>
    <t>17/03</t>
  </si>
  <si>
    <t>PIX TRANSF 64 584</t>
  </si>
  <si>
    <t>18/03</t>
  </si>
  <si>
    <t>PIX TRANSF FERNAND</t>
  </si>
  <si>
    <t>DEV PIX ZOOP BRASIL</t>
  </si>
  <si>
    <t>19/03</t>
  </si>
  <si>
    <t>PIX TRANSF CORRIEN</t>
  </si>
  <si>
    <t>PIX TRANSF JANETE</t>
  </si>
  <si>
    <t>PIX TRANSF VINICIUS</t>
  </si>
  <si>
    <t>PIX TRANSF 51.988</t>
  </si>
  <si>
    <t>20/03</t>
  </si>
  <si>
    <t>22/03</t>
  </si>
  <si>
    <t>PIX TRANSF Giovanni</t>
  </si>
  <si>
    <t>PIX TRANSF MARILY</t>
  </si>
  <si>
    <t>23/03</t>
  </si>
  <si>
    <t>PIX TRANSF 40 783</t>
  </si>
  <si>
    <t>25/03</t>
  </si>
  <si>
    <t>26/03</t>
  </si>
  <si>
    <t>PIX TRANSF LUCIANA</t>
  </si>
  <si>
    <t>27/03</t>
  </si>
  <si>
    <t>PAG BOLETO BANCO BRADESCO</t>
  </si>
  <si>
    <t>PIX QRS PAGALEVE</t>
  </si>
  <si>
    <t>29/03</t>
  </si>
  <si>
    <t>30/03</t>
  </si>
  <si>
    <t>PIX QRS Ciranda Ber (Escola)</t>
  </si>
  <si>
    <t>PIX QRS UBER DO BRA</t>
  </si>
  <si>
    <t>PIX TRANSF JOSE MA</t>
  </si>
  <si>
    <t>31/03</t>
  </si>
  <si>
    <t>📊 TOTAL ENTRADAS:</t>
  </si>
  <si>
    <t>📊 TOTAL SAÍDAS:</t>
  </si>
  <si>
    <t>📊 SALDO MOVIMENTAÇÃO:</t>
  </si>
  <si>
    <t>📊 EXTRATO BANCÁRIO - FEVEREIRO/2026</t>
  </si>
  <si>
    <t>Saldo Inicial (31/01)</t>
  </si>
  <si>
    <t>PAY -ALO B</t>
  </si>
  <si>
    <t>PAY -KALUN</t>
  </si>
  <si>
    <t>Lazer</t>
  </si>
  <si>
    <t>PIX QRS AKI MERCADO</t>
  </si>
  <si>
    <t>Assinatura</t>
  </si>
  <si>
    <t>Saúde</t>
  </si>
  <si>
    <t>PIX QRS ROGERIO RIB (Terapia)</t>
  </si>
  <si>
    <t>PIX TRANSF LUIS RI</t>
  </si>
  <si>
    <t>PIX QRS ICC (Exame)</t>
  </si>
  <si>
    <t>PIX QRS JOAO KOBASH</t>
  </si>
  <si>
    <t>PIX QRS JORGE YUKIH</t>
  </si>
  <si>
    <t>PIX QRS Odair Domin</t>
  </si>
  <si>
    <t>PIX TRANSF KATHIAN</t>
  </si>
  <si>
    <t>PIX TRANSF NELIANE</t>
  </si>
  <si>
    <t>PIX TRANSF ESPACO (Terapia)</t>
  </si>
  <si>
    <t>Int /PM SAO PAU (IPTU)</t>
  </si>
  <si>
    <t>PIX QRS NOVA LETICI</t>
  </si>
  <si>
    <t>PIX QRS TELEFONICA (Vivo)</t>
  </si>
  <si>
    <t>PIX QRS Compra</t>
  </si>
  <si>
    <t>18/02</t>
  </si>
  <si>
    <t>Financ Imobiliário</t>
  </si>
  <si>
    <t>PAY diversos (Aline/BluGe/FINI/etc)</t>
  </si>
  <si>
    <t>PIX QRS CLUB WEB SE</t>
  </si>
  <si>
    <t>PIX QRS Kadura Powe</t>
  </si>
  <si>
    <t>PIX QRS SUPERMERCADO</t>
  </si>
  <si>
    <t>PIX QRS Zig Tecnolo</t>
  </si>
  <si>
    <t>19/02</t>
  </si>
  <si>
    <t>PAY -Jorge</t>
  </si>
  <si>
    <t>PAY -LETIC</t>
  </si>
  <si>
    <t>PAY -SJX A</t>
  </si>
  <si>
    <t>20/02</t>
  </si>
  <si>
    <t>PAY diversos (Cinema/HS VI/etc)</t>
  </si>
  <si>
    <t>PIX QRS SAO JORGE A</t>
  </si>
  <si>
    <t>23/02</t>
  </si>
  <si>
    <t>PIX QRS PIX Marketp</t>
  </si>
  <si>
    <t>PIX TRANSF MO ESFI</t>
  </si>
  <si>
    <t>24/02</t>
  </si>
  <si>
    <t>PAY -MAMBO</t>
  </si>
  <si>
    <t>PIX QRS BRASIL ALIM</t>
  </si>
  <si>
    <t>25/02</t>
  </si>
  <si>
    <t>PIX QRS AUTOPASS</t>
  </si>
  <si>
    <t>PIX TRANSF PIZZARI</t>
  </si>
  <si>
    <t>PIX TRANSF LARISSA</t>
  </si>
  <si>
    <t>26/02</t>
  </si>
  <si>
    <t>📊 EXTRATO BANCÁRIO - ABRIL/2026</t>
  </si>
  <si>
    <t>Saldo Inicial (31/03)</t>
  </si>
  <si>
    <t>Investimentos (CDB Metas)</t>
  </si>
  <si>
    <t>PIX TRANSF KARINE (Terapia)</t>
  </si>
  <si>
    <t>PAG BOLETO CONDOMÍNIO</t>
  </si>
  <si>
    <t>PIX TRANSF RAFAEL</t>
  </si>
  <si>
    <t>13/04</t>
  </si>
  <si>
    <t>14/04</t>
  </si>
  <si>
    <t>PIX QRS X FARMACIA</t>
  </si>
  <si>
    <t>15/04</t>
  </si>
  <si>
    <t>Lançamento a Débito (Financiamento)</t>
  </si>
  <si>
    <t>16/04</t>
  </si>
  <si>
    <t>21/04</t>
  </si>
  <si>
    <t>22/04</t>
  </si>
  <si>
    <t>23/04</t>
  </si>
  <si>
    <t>PIX TRANSF Sergio</t>
  </si>
  <si>
    <t>25/04</t>
  </si>
  <si>
    <t>DEV PIX X FARMACIA</t>
  </si>
  <si>
    <t>26/04</t>
  </si>
  <si>
    <t>28/04</t>
  </si>
  <si>
    <t>PIX TRANSF INSTITUTO</t>
  </si>
  <si>
    <t>29/04</t>
  </si>
  <si>
    <t>30/04</t>
  </si>
  <si>
    <t>PIX QRS DROGARIA SA</t>
  </si>
  <si>
    <t>PIX QRS Ff Tech E P</t>
  </si>
  <si>
    <t>PIX TRANSF CIRANDA</t>
  </si>
  <si>
    <t>DEV PIX Ff Tech E P</t>
  </si>
  <si>
    <t>📊 EXTRATO BANCÁRIO - MAIO/2026</t>
  </si>
  <si>
    <t>Saldo Inicial (30/04)</t>
  </si>
  <si>
    <t>Imposto</t>
  </si>
  <si>
    <t>PIX QRS IMPULSO PAR</t>
  </si>
  <si>
    <t>TED CAIXA ECON F</t>
  </si>
  <si>
    <t>Recebimento (PIX diversos)</t>
  </si>
  <si>
    <t>PAY LEROY</t>
  </si>
  <si>
    <t>PIX TRANSF GRAN TU</t>
  </si>
  <si>
    <t>13/05</t>
  </si>
  <si>
    <t>14/05</t>
  </si>
  <si>
    <t>PIX QRS Ciranda Ber (Material)</t>
  </si>
  <si>
    <t>PIX TRANSF RODA VI</t>
  </si>
  <si>
    <t>15/05</t>
  </si>
  <si>
    <t>18/05</t>
  </si>
  <si>
    <t>25/05</t>
  </si>
  <si>
    <t>PIX TRANSF LUIS FE</t>
  </si>
  <si>
    <t>26/05</t>
  </si>
  <si>
    <t>TED PRISCILA D</t>
  </si>
  <si>
    <t>27/05</t>
  </si>
  <si>
    <t>28/05</t>
  </si>
  <si>
    <t>29/05</t>
  </si>
  <si>
    <t>PIX QRS RECEITA FED (IR)</t>
  </si>
  <si>
    <t>📊 ANÁLISE CONSOLIDADA POR CATEGORIA - JANEIRO A MAIO/2026</t>
  </si>
  <si>
    <t>💡 INSIGHTS FINANCEIROS</t>
  </si>
  <si>
    <t>🏆 RANKING DE GASTOS (5 meses)</t>
  </si>
  <si>
    <t>Valor Total</t>
  </si>
  <si>
    <t>📊 GASTOS REAIS (excluindo investimentos e transf. internas)</t>
  </si>
  <si>
    <t>💸 SAÍDAS POR CATEGORIA</t>
  </si>
  <si>
    <t>Total Saídas</t>
  </si>
  <si>
    <t>(-) Investimento</t>
  </si>
  <si>
    <t>(-) Transf. Interna</t>
  </si>
  <si>
    <t>% vs Total</t>
  </si>
  <si>
    <t>Janeiro</t>
  </si>
  <si>
    <t>Fevereiro</t>
  </si>
  <si>
    <t>Março</t>
  </si>
  <si>
    <t>Abril</t>
  </si>
  <si>
    <t>Maio</t>
  </si>
  <si>
    <t>Terapia + Psicologia</t>
  </si>
  <si>
    <t>🏆 TOP 5 MAIORES GASTOS (5 meses)</t>
  </si>
  <si>
    <t>1º</t>
  </si>
  <si>
    <t>2º</t>
  </si>
  <si>
    <t>3º</t>
  </si>
  <si>
    <t>4º</t>
  </si>
  <si>
    <t>5º</t>
  </si>
  <si>
    <t>📌 GASTOS FIXOS MENSAIS</t>
  </si>
  <si>
    <t>Valor Médio/Mês</t>
  </si>
  <si>
    <t>Financiamento Imobiliário</t>
  </si>
  <si>
    <t>Conta de Luz</t>
  </si>
  <si>
    <t>TOTAL FIXOS</t>
  </si>
  <si>
    <t>❤️ INDICADORES DE SAÚDE FINANCEIRA</t>
  </si>
  <si>
    <t>Meta</t>
  </si>
  <si>
    <t>Saldo Acumulado</t>
  </si>
  <si>
    <t>Positivo</t>
  </si>
  <si>
    <t>Meses em Déficit</t>
  </si>
  <si>
    <t>Fixos/Renda Média</t>
  </si>
  <si>
    <t>&lt;30%</t>
  </si>
  <si>
    <t>(inclui financ. imobiliário)</t>
  </si>
  <si>
    <t>💰 ENTRADAS POR CATEGORIA</t>
  </si>
  <si>
    <t>Taxa de Investimento</t>
  </si>
  <si>
    <t>&gt;15%</t>
  </si>
  <si>
    <t>⚠️ ALERTAS E OBSERVAÇÕES</t>
  </si>
  <si>
    <t>• Fevereiro e Maio: meses com saldo negativo - avaliar causas</t>
  </si>
  <si>
    <t>• Cartão: picos em Jan (R$16.607) e Abr (R$13.720) - verificar parcelamentos</t>
  </si>
  <si>
    <t>• Escola: variação grande entre meses - confirmar pagamentos adiantados</t>
  </si>
  <si>
    <t>• Reembolsos pendentes: R$ 7.867 a receber (ver planilha 'Table 1')</t>
  </si>
  <si>
    <t>• Transferências da conta pessoal: R$ 83.073 - principal fonte de entrada</t>
  </si>
  <si>
    <t>📈 DADOS PARA GRÁFICOS</t>
  </si>
  <si>
    <t>Top Categorias</t>
  </si>
  <si>
    <t>Tipo de Gasto</t>
  </si>
  <si>
    <t>📈 RESUMO GERAL</t>
  </si>
  <si>
    <t>Gastos Fixos</t>
  </si>
  <si>
    <t>Total Entradas</t>
  </si>
  <si>
    <t>Gastos Variáveis</t>
  </si>
  <si>
    <t>SALDO</t>
  </si>
  <si>
    <t>Conta Luz/Internet/Seguro</t>
  </si>
  <si>
    <t>📅 Análise gerada automaticamente em 12/06/2026</t>
  </si>
  <si>
    <t>Profissionais</t>
  </si>
  <si>
    <r>
      <rPr>
        <sz val="11"/>
        <color rgb="FF000000"/>
        <rFont val="Times New Roman"/>
        <family val="2"/>
        <charset val="204"/>
      </rPr>
      <t>Wendy Paola Ramirez Molano</t>
    </r>
  </si>
  <si>
    <r>
      <rPr>
        <sz val="11"/>
        <color rgb="FF000000"/>
        <rFont val="Times New Roman"/>
        <family val="2"/>
        <charset val="204"/>
      </rPr>
      <t>Saude da Vila - Odontologia</t>
    </r>
  </si>
  <si>
    <t xml:space="preserve">Dr. Luis Ricardo </t>
  </si>
  <si>
    <t>Cirurgião pediatra</t>
  </si>
  <si>
    <r>
      <rPr>
        <sz val="11"/>
        <color rgb="FF000000"/>
        <rFont val="Times New Roman"/>
        <family val="2"/>
        <charset val="204"/>
      </rPr>
      <t>Clinica de Pediatria Luna SS Ltda</t>
    </r>
  </si>
  <si>
    <r>
      <rPr>
        <sz val="11"/>
        <color rgb="FF000000"/>
        <rFont val="Times New Roman"/>
        <family val="2"/>
        <charset val="204"/>
      </rPr>
      <t>Rogério Ribeiro de Sousa</t>
    </r>
  </si>
  <si>
    <t>Massagista</t>
  </si>
  <si>
    <t>Dra. Tatiana</t>
  </si>
  <si>
    <t>Pediatra</t>
  </si>
  <si>
    <r>
      <rPr>
        <sz val="11"/>
        <color rgb="FF000000"/>
        <rFont val="Times New Roman"/>
        <family val="2"/>
        <charset val="204"/>
      </rPr>
      <t>Humanitas Instituto Integrado de Saud</t>
    </r>
  </si>
  <si>
    <t>Dr. Leonardo Akaishi</t>
  </si>
  <si>
    <t>Psiquiatra</t>
  </si>
  <si>
    <r>
      <rPr>
        <sz val="11"/>
        <color rgb="FF000000"/>
        <rFont val="Times New Roman"/>
        <family val="2"/>
        <charset val="204"/>
      </rPr>
      <t>Instituto de cirurgia Eduardo Akaishi</t>
    </r>
  </si>
  <si>
    <t>Fisioterapeuta</t>
  </si>
  <si>
    <r>
      <rPr>
        <sz val="11"/>
        <color rgb="FF000000"/>
        <rFont val="Times New Roman"/>
        <family val="2"/>
        <charset val="204"/>
      </rPr>
      <t>Espaço Yuan Terapias LTDA.</t>
    </r>
  </si>
  <si>
    <t>Psicologa</t>
  </si>
  <si>
    <r>
      <rPr>
        <sz val="11"/>
        <color rgb="FF000000"/>
        <rFont val="Times New Roman"/>
        <family val="2"/>
        <charset val="204"/>
      </rPr>
      <t>Wendy Paola Ramírez Molano</t>
    </r>
  </si>
  <si>
    <r>
      <rPr>
        <sz val="11"/>
        <color rgb="FF000000"/>
        <rFont val="Times New Roman"/>
        <family val="2"/>
        <charset val="204"/>
      </rPr>
      <t>Instituto de Cirurgia Eduardo Akaishi</t>
    </r>
  </si>
  <si>
    <r>
      <rPr>
        <sz val="11"/>
        <color rgb="FF000000"/>
        <rFont val="Times New Roman"/>
        <family val="2"/>
        <charset val="204"/>
      </rPr>
      <t>KARINE SAITO PSICOLOGIA LTDA</t>
    </r>
  </si>
  <si>
    <r>
      <rPr>
        <sz val="11"/>
        <color rgb="FF000000"/>
        <rFont val="Times New Roman"/>
        <family val="2"/>
        <charset val="204"/>
      </rPr>
      <t>Humanitas Instituto Integrado de Saúd</t>
    </r>
  </si>
  <si>
    <r>
      <rPr>
        <sz val="11"/>
        <color rgb="FF000000"/>
        <rFont val="Times New Roman"/>
        <family val="2"/>
        <charset val="204"/>
      </rPr>
      <t>CLINICA DE PEDIATRIA LUNA S/S LTDA</t>
    </r>
  </si>
  <si>
    <r>
      <rPr>
        <sz val="11"/>
        <color rgb="FF000000"/>
        <rFont val="Times New Roman"/>
        <family val="2"/>
        <charset val="204"/>
      </rPr>
      <t>LUCE E SANTOS SERVICOS MEDICOS LT</t>
    </r>
  </si>
  <si>
    <r>
      <rPr>
        <sz val="11"/>
        <color rgb="FF000000"/>
        <rFont val="Times New Roman"/>
        <family val="2"/>
        <charset val="204"/>
      </rPr>
      <t>Alvo Clínica Médica S/S</t>
    </r>
  </si>
  <si>
    <r>
      <rPr>
        <sz val="11"/>
        <color rgb="FF000000"/>
        <rFont val="Times New Roman"/>
        <family val="2"/>
        <charset val="204"/>
      </rPr>
      <t>SOCIEDADE BENEF ISRAELITABRAS HOS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</si>
</sst>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dd/mm/yyyy;@"/>
    <numFmt numFmtId="165" formatCode="\R&quot;R$&quot;\ #.##000"/>
    <numFmt numFmtId="166" formatCode="\R&quot;R$&quot;\ #,##0.00"/>
    <numFmt numFmtId="167" formatCode="0.0%"/>
    <numFmt numFmtId="168" formatCode="&quot;R$&quot;\ #,##0.00;[Red]&quot;R$&quot;\ #,##0.00"/>
    <numFmt numFmtId="169" formatCode="#,##0.00\ [$BRL];[Red]\-#,##0.00\ [$BRL]"/>
  </numFmts>
  <fonts count="39">
    <font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sz val="10"/>
      <color rgb="FF000000"/>
      <name val="Times New Roman"/>
      <family val="2"/>
      <charset val="204"/>
    </font>
    <font>
      <u/>
      <sz val="10"/>
      <color theme="10"/>
      <name val="Times New Roman"/>
      <charset val="204"/>
    </font>
    <font>
      <b/>
      <sz val="10"/>
      <color rgb="FF000000"/>
      <name val="Times New Roman"/>
      <charset val="204"/>
    </font>
    <font>
      <b/>
      <sz val="14"/>
      <color rgb="FF1F4E79"/>
      <name val="Times New Roman"/>
      <charset val="204"/>
    </font>
    <font>
      <b/>
      <sz val="10"/>
      <color rgb="FFFFFFFF"/>
      <name val="Times New Roman"/>
      <charset val="204"/>
    </font>
    <font>
      <b/>
      <sz val="10"/>
      <color rgb="FF2E7D32"/>
      <name val="Times New Roman"/>
      <charset val="204"/>
    </font>
    <font>
      <i/>
      <sz val="10"/>
      <color rgb="FF000000"/>
      <name val="Times New Roman"/>
      <charset val="204"/>
    </font>
    <font>
      <i/>
      <sz val="9"/>
      <color rgb="FF666666"/>
      <name val="Times New Roman"/>
      <charset val="204"/>
    </font>
    <font>
      <b/>
      <sz val="11"/>
      <color rgb="FFFFFFFF"/>
      <name val="Calibri"/>
    </font>
    <font>
      <b/>
      <sz val="10"/>
      <color rgb="FFC00000"/>
      <name val="Times New Roman"/>
      <charset val="204"/>
    </font>
    <font>
      <b/>
      <sz val="12"/>
      <color rgb="FF1F4E79"/>
      <name val="Times New Roman"/>
      <charset val="204"/>
    </font>
    <font>
      <sz val="10"/>
      <color rgb="FF006400"/>
      <name val="Times New Roman"/>
      <charset val="204"/>
    </font>
    <font>
      <sz val="10"/>
      <color rgb="FFC00000"/>
      <name val="Times New Roman"/>
      <charset val="204"/>
    </font>
    <font>
      <i/>
      <sz val="9"/>
      <color rgb="FF000000"/>
      <name val="Times New Roman"/>
      <charset val="204"/>
    </font>
    <font>
      <sz val="11"/>
      <name val="Calibri"/>
      <family val="2"/>
    </font>
    <font>
      <sz val="11"/>
      <color rgb="FF000000"/>
      <name val="Times New Roman"/>
      <family val="2"/>
      <charset val="204"/>
    </font>
    <font>
      <sz val="11"/>
      <color rgb="FF000000"/>
      <name val="Calibri"/>
      <family val="2"/>
    </font>
    <font>
      <b/>
      <sz val="18"/>
      <color rgb="FFFFFFFF"/>
      <name val="Times New Roman"/>
      <charset val="204"/>
    </font>
    <font>
      <b/>
      <sz val="12"/>
      <color rgb="FFFFFFFF"/>
      <name val="Times New Roman"/>
      <charset val="204"/>
    </font>
    <font>
      <b/>
      <sz val="10"/>
      <color rgb="FF806000"/>
      <name val="Times New Roman"/>
      <charset val="204"/>
    </font>
    <font>
      <b/>
      <sz val="10"/>
      <color rgb="FF00B050"/>
      <name val="Times New Roman"/>
      <charset val="204"/>
    </font>
    <font>
      <b/>
      <sz val="11"/>
      <color rgb="FFFFFFFF"/>
      <name val="Times New Roman"/>
      <charset val="204"/>
    </font>
    <font>
      <sz val="10"/>
      <name val="Calibri"/>
    </font>
    <font>
      <u/>
      <sz val="10"/>
      <color rgb="FF0563C1"/>
      <name val="Calibri"/>
    </font>
    <font>
      <sz val="10"/>
      <color rgb="FF9C5700"/>
      <name val="Calibri"/>
    </font>
    <font>
      <sz val="10"/>
      <color rgb="FF1F4E79"/>
      <name val="Calibri"/>
    </font>
    <font>
      <u/>
      <sz val="10"/>
      <color theme="10"/>
      <name val="Calibri"/>
    </font>
    <font>
      <b/>
      <sz val="10"/>
      <color rgb="FFFFFFFF"/>
      <name val="Calibri"/>
    </font>
    <font>
      <b/>
      <u/>
      <sz val="10"/>
      <color rgb="FFFFFFFF"/>
      <name val="Calibri"/>
    </font>
    <font>
      <sz val="10"/>
      <color rgb="FF000000"/>
      <name val="Calibri"/>
    </font>
    <font>
      <sz val="10"/>
      <color rgb="FF0563C1"/>
      <name val="Calibri"/>
    </font>
    <font>
      <u/>
      <sz val="10"/>
      <color rgb="FF000000"/>
      <name val="Calibri"/>
    </font>
    <font>
      <i/>
      <sz val="10"/>
      <name val="Calibri"/>
    </font>
    <font>
      <sz val="10"/>
      <color theme="1"/>
      <name val="Calibri"/>
    </font>
    <font>
      <i/>
      <sz val="10"/>
      <color rgb="FF000000"/>
      <name val="Calibri"/>
    </font>
    <font>
      <b/>
      <sz val="11"/>
      <color rgb="FF000000"/>
      <name val="Calibri"/>
    </font>
  </fonts>
  <fills count="4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2D1F2"/>
        <bgColor indexed="64"/>
      </patternFill>
    </fill>
    <fill>
      <patternFill patternType="solid">
        <fgColor rgb="FFF2E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4472C4"/>
      </left>
      <right style="thin">
        <color rgb="FFB4C6E7"/>
      </right>
      <top style="thin">
        <color rgb="FF4472C4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4472C4"/>
      </top>
      <bottom style="thin">
        <color rgb="FFB4C6E7"/>
      </bottom>
      <diagonal/>
    </border>
    <border>
      <left style="thin">
        <color rgb="FFB4C6E7"/>
      </left>
      <right style="thin">
        <color rgb="FF4472C4"/>
      </right>
      <top style="thin">
        <color rgb="FF4472C4"/>
      </top>
      <bottom style="thin">
        <color rgb="FFB4C6E7"/>
      </bottom>
      <diagonal/>
    </border>
    <border>
      <left style="thin">
        <color rgb="FF4472C4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4472C4"/>
      </right>
      <top style="thin">
        <color rgb="FFB4C6E7"/>
      </top>
      <bottom style="thin">
        <color rgb="FFB4C6E7"/>
      </bottom>
      <diagonal/>
    </border>
    <border>
      <left style="thin">
        <color rgb="FF4472C4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4472C4"/>
      </right>
      <top style="thin">
        <color rgb="FFB4C6E7"/>
      </top>
      <bottom/>
      <diagonal/>
    </border>
    <border>
      <left style="thin">
        <color rgb="FF4472C4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4472C4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1F4E79"/>
      </top>
      <bottom style="thin">
        <color rgb="FF1F4E79"/>
      </bottom>
      <diagonal/>
    </border>
    <border>
      <left style="thin">
        <color rgb="FFB4C6E7"/>
      </left>
      <right style="thin">
        <color rgb="FF4472C4"/>
      </right>
      <top style="thin">
        <color rgb="FF1F4E79"/>
      </top>
      <bottom style="thin">
        <color rgb="FF1F4E79"/>
      </bottom>
      <diagonal/>
    </border>
    <border>
      <left style="thin">
        <color rgb="FF4472C4"/>
      </left>
      <right/>
      <top style="thin">
        <color rgb="FF1F4E79"/>
      </top>
      <bottom style="thin">
        <color rgb="FF1F4E79"/>
      </bottom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 style="thin">
        <color rgb="FFB4C6E7"/>
      </right>
      <top style="thin">
        <color rgb="FF1F4E79"/>
      </top>
      <bottom style="thin">
        <color rgb="FF1F4E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5">
    <xf numFmtId="0" fontId="0" fillId="0" borderId="0" xfId="0" applyAlignment="1">
      <alignment horizontal="left" vertical="top"/>
    </xf>
    <xf numFmtId="16" fontId="0" fillId="0" borderId="0" xfId="0" applyNumberFormat="1" applyAlignment="1">
      <alignment horizontal="left" vertical="top"/>
    </xf>
    <xf numFmtId="0" fontId="2" fillId="0" borderId="0" xfId="0" applyFont="1" applyAlignment="1">
      <alignment horizontal="left" vertical="top"/>
    </xf>
    <xf numFmtId="44" fontId="0" fillId="0" borderId="0" xfId="1" applyFont="1" applyAlignment="1">
      <alignment horizontal="left" vertical="top"/>
    </xf>
    <xf numFmtId="0" fontId="0" fillId="0" borderId="0" xfId="0" applyAlignment="1">
      <alignment horizontal="right" vertical="top"/>
    </xf>
    <xf numFmtId="165" fontId="0" fillId="0" borderId="0" xfId="0" applyNumberFormat="1" applyAlignment="1">
      <alignment horizontal="left" vertical="top"/>
    </xf>
    <xf numFmtId="0" fontId="5" fillId="6" borderId="0" xfId="0" applyFont="1" applyFill="1" applyAlignment="1">
      <alignment horizontal="left" vertical="top"/>
    </xf>
    <xf numFmtId="166" fontId="0" fillId="0" borderId="0" xfId="0" applyNumberFormat="1" applyAlignment="1">
      <alignment horizontal="left" vertical="top"/>
    </xf>
    <xf numFmtId="167" fontId="0" fillId="0" borderId="0" xfId="0" applyNumberFormat="1" applyAlignment="1">
      <alignment horizontal="left" vertical="top"/>
    </xf>
    <xf numFmtId="0" fontId="5" fillId="9" borderId="0" xfId="0" applyFont="1" applyFill="1" applyAlignment="1">
      <alignment horizontal="left" vertical="top"/>
    </xf>
    <xf numFmtId="0" fontId="7" fillId="4" borderId="0" xfId="0" applyFont="1" applyFill="1" applyAlignment="1">
      <alignment horizontal="left" vertical="center"/>
    </xf>
    <xf numFmtId="9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top"/>
    </xf>
    <xf numFmtId="168" fontId="7" fillId="23" borderId="0" xfId="0" applyNumberFormat="1" applyFont="1" applyFill="1" applyAlignment="1">
      <alignment horizontal="left" vertical="top"/>
    </xf>
    <xf numFmtId="7" fontId="0" fillId="0" borderId="0" xfId="0" applyNumberFormat="1" applyAlignment="1">
      <alignment horizontal="left" vertical="top"/>
    </xf>
    <xf numFmtId="7" fontId="7" fillId="23" borderId="0" xfId="0" applyNumberFormat="1" applyFont="1" applyFill="1" applyAlignment="1">
      <alignment horizontal="left" vertical="top"/>
    </xf>
    <xf numFmtId="168" fontId="5" fillId="22" borderId="0" xfId="0" applyNumberFormat="1" applyFont="1" applyFill="1" applyAlignment="1">
      <alignment horizontal="left" vertical="top"/>
    </xf>
    <xf numFmtId="168" fontId="5" fillId="21" borderId="0" xfId="0" applyNumberFormat="1" applyFont="1" applyFill="1" applyAlignment="1">
      <alignment horizontal="left" vertical="top"/>
    </xf>
    <xf numFmtId="168" fontId="5" fillId="20" borderId="0" xfId="0" applyNumberFormat="1" applyFont="1" applyFill="1" applyAlignment="1">
      <alignment horizontal="left" vertical="top"/>
    </xf>
    <xf numFmtId="7" fontId="6" fillId="0" borderId="0" xfId="0" applyNumberFormat="1" applyFont="1" applyAlignment="1">
      <alignment horizontal="left" vertical="top"/>
    </xf>
    <xf numFmtId="7" fontId="9" fillId="0" borderId="0" xfId="0" applyNumberFormat="1" applyFont="1" applyAlignment="1">
      <alignment horizontal="left" vertical="top"/>
    </xf>
    <xf numFmtId="7" fontId="7" fillId="4" borderId="0" xfId="0" applyNumberFormat="1" applyFont="1" applyFill="1" applyAlignment="1">
      <alignment horizontal="left" vertical="top"/>
    </xf>
    <xf numFmtId="7" fontId="13" fillId="0" borderId="0" xfId="0" applyNumberFormat="1" applyFont="1" applyAlignment="1">
      <alignment horizontal="left" vertical="top"/>
    </xf>
    <xf numFmtId="7" fontId="7" fillId="23" borderId="4" xfId="0" applyNumberFormat="1" applyFont="1" applyFill="1" applyBorder="1" applyAlignment="1">
      <alignment horizontal="left" vertical="top"/>
    </xf>
    <xf numFmtId="7" fontId="0" fillId="0" borderId="5" xfId="0" applyNumberFormat="1" applyBorder="1" applyAlignment="1">
      <alignment horizontal="left" vertical="top"/>
    </xf>
    <xf numFmtId="7" fontId="5" fillId="0" borderId="0" xfId="0" applyNumberFormat="1" applyFont="1" applyAlignment="1">
      <alignment horizontal="left" vertical="top"/>
    </xf>
    <xf numFmtId="7" fontId="8" fillId="0" borderId="0" xfId="0" applyNumberFormat="1" applyFont="1" applyAlignment="1">
      <alignment horizontal="left" vertical="top"/>
    </xf>
    <xf numFmtId="7" fontId="0" fillId="0" borderId="6" xfId="0" applyNumberFormat="1" applyBorder="1" applyAlignment="1">
      <alignment horizontal="left" vertical="top"/>
    </xf>
    <xf numFmtId="7" fontId="12" fillId="0" borderId="0" xfId="0" applyNumberFormat="1" applyFont="1" applyAlignment="1">
      <alignment horizontal="left" vertical="top"/>
    </xf>
    <xf numFmtId="7" fontId="5" fillId="22" borderId="0" xfId="0" applyNumberFormat="1" applyFont="1" applyFill="1" applyAlignment="1">
      <alignment horizontal="left" vertical="top"/>
    </xf>
    <xf numFmtId="7" fontId="5" fillId="8" borderId="0" xfId="0" applyNumberFormat="1" applyFont="1" applyFill="1" applyAlignment="1">
      <alignment horizontal="left" vertical="top"/>
    </xf>
    <xf numFmtId="7" fontId="5" fillId="21" borderId="0" xfId="0" applyNumberFormat="1" applyFont="1" applyFill="1" applyAlignment="1">
      <alignment horizontal="left" vertical="top"/>
    </xf>
    <xf numFmtId="7" fontId="5" fillId="20" borderId="0" xfId="0" applyNumberFormat="1" applyFont="1" applyFill="1" applyAlignment="1">
      <alignment horizontal="left" vertical="top"/>
    </xf>
    <xf numFmtId="7" fontId="7" fillId="2" borderId="0" xfId="0" applyNumberFormat="1" applyFont="1" applyFill="1" applyAlignment="1">
      <alignment horizontal="left" vertical="top"/>
    </xf>
    <xf numFmtId="168" fontId="6" fillId="0" borderId="0" xfId="0" applyNumberFormat="1" applyFont="1" applyAlignment="1">
      <alignment horizontal="left" vertical="top"/>
    </xf>
    <xf numFmtId="168" fontId="9" fillId="0" borderId="0" xfId="0" applyNumberFormat="1" applyFont="1" applyAlignment="1">
      <alignment horizontal="left" vertical="top"/>
    </xf>
    <xf numFmtId="168" fontId="7" fillId="4" borderId="0" xfId="0" applyNumberFormat="1" applyFont="1" applyFill="1" applyAlignment="1">
      <alignment horizontal="left" vertical="top"/>
    </xf>
    <xf numFmtId="168" fontId="7" fillId="2" borderId="0" xfId="0" applyNumberFormat="1" applyFont="1" applyFill="1" applyAlignment="1">
      <alignment horizontal="left" vertical="top"/>
    </xf>
    <xf numFmtId="8" fontId="9" fillId="0" borderId="0" xfId="0" applyNumberFormat="1" applyFont="1" applyAlignment="1">
      <alignment horizontal="left" vertical="top"/>
    </xf>
    <xf numFmtId="8" fontId="0" fillId="0" borderId="0" xfId="0" applyNumberFormat="1" applyAlignment="1">
      <alignment horizontal="left" vertical="top"/>
    </xf>
    <xf numFmtId="8" fontId="5" fillId="21" borderId="0" xfId="0" applyNumberFormat="1" applyFont="1" applyFill="1" applyAlignment="1">
      <alignment horizontal="left" vertical="top"/>
    </xf>
    <xf numFmtId="8" fontId="5" fillId="24" borderId="0" xfId="0" applyNumberFormat="1" applyFont="1" applyFill="1" applyAlignment="1">
      <alignment horizontal="left" vertical="top"/>
    </xf>
    <xf numFmtId="8" fontId="5" fillId="20" borderId="0" xfId="0" applyNumberFormat="1" applyFont="1" applyFill="1" applyAlignment="1">
      <alignment horizontal="left" vertical="top"/>
    </xf>
    <xf numFmtId="8" fontId="5" fillId="16" borderId="0" xfId="0" applyNumberFormat="1" applyFont="1" applyFill="1" applyAlignment="1">
      <alignment horizontal="left" vertical="top"/>
    </xf>
    <xf numFmtId="8" fontId="5" fillId="6" borderId="0" xfId="0" applyNumberFormat="1" applyFont="1" applyFill="1" applyAlignment="1">
      <alignment horizontal="left" vertical="top"/>
    </xf>
    <xf numFmtId="8" fontId="14" fillId="0" borderId="0" xfId="0" applyNumberFormat="1" applyFont="1" applyAlignment="1">
      <alignment horizontal="left" vertical="top"/>
    </xf>
    <xf numFmtId="8" fontId="15" fillId="0" borderId="0" xfId="0" applyNumberFormat="1" applyFont="1" applyAlignment="1">
      <alignment horizontal="left" vertical="top"/>
    </xf>
    <xf numFmtId="8" fontId="5" fillId="26" borderId="0" xfId="0" applyNumberFormat="1" applyFont="1" applyFill="1" applyAlignment="1">
      <alignment horizontal="left" vertical="top"/>
    </xf>
    <xf numFmtId="8" fontId="16" fillId="0" borderId="0" xfId="0" applyNumberFormat="1" applyFont="1" applyAlignment="1">
      <alignment horizontal="left" vertical="top"/>
    </xf>
    <xf numFmtId="9" fontId="5" fillId="27" borderId="0" xfId="0" applyNumberFormat="1" applyFont="1" applyFill="1" applyAlignment="1">
      <alignment horizontal="left" vertical="top"/>
    </xf>
    <xf numFmtId="168" fontId="5" fillId="9" borderId="0" xfId="0" applyNumberFormat="1" applyFont="1" applyFill="1" applyAlignment="1">
      <alignment horizontal="left" vertical="top"/>
    </xf>
    <xf numFmtId="168" fontId="5" fillId="27" borderId="0" xfId="0" applyNumberFormat="1" applyFont="1" applyFill="1" applyAlignment="1">
      <alignment horizontal="left" vertical="top"/>
    </xf>
    <xf numFmtId="168" fontId="5" fillId="7" borderId="0" xfId="0" applyNumberFormat="1" applyFont="1" applyFill="1" applyAlignment="1">
      <alignment horizontal="left" vertical="top"/>
    </xf>
    <xf numFmtId="168" fontId="5" fillId="6" borderId="0" xfId="0" applyNumberFormat="1" applyFont="1" applyFill="1" applyAlignment="1">
      <alignment horizontal="left" vertical="top"/>
    </xf>
    <xf numFmtId="168" fontId="5" fillId="29" borderId="0" xfId="0" applyNumberFormat="1" applyFont="1" applyFill="1" applyAlignment="1">
      <alignment horizontal="left" vertical="top"/>
    </xf>
    <xf numFmtId="168" fontId="5" fillId="13" borderId="0" xfId="0" applyNumberFormat="1" applyFont="1" applyFill="1" applyAlignment="1">
      <alignment horizontal="left" vertical="top"/>
    </xf>
    <xf numFmtId="168" fontId="16" fillId="0" borderId="0" xfId="0" applyNumberFormat="1" applyFont="1" applyAlignment="1">
      <alignment horizontal="left" vertical="top"/>
    </xf>
    <xf numFmtId="0" fontId="17" fillId="19" borderId="1" xfId="0" applyFont="1" applyFill="1" applyBorder="1" applyAlignment="1">
      <alignment horizontal="left" vertical="center" wrapText="1"/>
    </xf>
    <xf numFmtId="0" fontId="17" fillId="18" borderId="1" xfId="0" applyFont="1" applyFill="1" applyBorder="1" applyAlignment="1">
      <alignment horizontal="left" vertical="center" wrapText="1"/>
    </xf>
    <xf numFmtId="0" fontId="19" fillId="19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7" fillId="30" borderId="3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top" wrapText="1"/>
    </xf>
    <xf numFmtId="0" fontId="5" fillId="6" borderId="7" xfId="0" applyFont="1" applyFill="1" applyBorder="1" applyAlignment="1">
      <alignment horizontal="left" vertical="top"/>
    </xf>
    <xf numFmtId="0" fontId="5" fillId="7" borderId="7" xfId="0" applyFont="1" applyFill="1" applyBorder="1" applyAlignment="1">
      <alignment horizontal="left" vertical="top"/>
    </xf>
    <xf numFmtId="166" fontId="0" fillId="0" borderId="7" xfId="0" applyNumberFormat="1" applyBorder="1" applyAlignment="1">
      <alignment horizontal="left" vertical="top"/>
    </xf>
    <xf numFmtId="167" fontId="0" fillId="0" borderId="7" xfId="0" applyNumberFormat="1" applyBorder="1" applyAlignment="1">
      <alignment horizontal="left" vertical="top"/>
    </xf>
    <xf numFmtId="0" fontId="5" fillId="8" borderId="7" xfId="0" applyFont="1" applyFill="1" applyBorder="1" applyAlignment="1">
      <alignment horizontal="left" vertical="top"/>
    </xf>
    <xf numFmtId="166" fontId="5" fillId="8" borderId="7" xfId="0" applyNumberFormat="1" applyFont="1" applyFill="1" applyBorder="1" applyAlignment="1">
      <alignment horizontal="left" vertical="top"/>
    </xf>
    <xf numFmtId="167" fontId="5" fillId="8" borderId="7" xfId="0" applyNumberFormat="1" applyFont="1" applyFill="1" applyBorder="1" applyAlignment="1">
      <alignment horizontal="left" vertical="top"/>
    </xf>
    <xf numFmtId="0" fontId="9" fillId="14" borderId="7" xfId="0" applyFont="1" applyFill="1" applyBorder="1" applyAlignment="1">
      <alignment horizontal="left" vertical="top"/>
    </xf>
    <xf numFmtId="166" fontId="9" fillId="14" borderId="7" xfId="0" applyNumberFormat="1" applyFont="1" applyFill="1" applyBorder="1" applyAlignment="1">
      <alignment horizontal="left" vertical="top"/>
    </xf>
    <xf numFmtId="0" fontId="5" fillId="13" borderId="7" xfId="0" applyFont="1" applyFill="1" applyBorder="1" applyAlignment="1">
      <alignment horizontal="left" vertical="top"/>
    </xf>
    <xf numFmtId="166" fontId="5" fillId="16" borderId="7" xfId="0" applyNumberFormat="1" applyFont="1" applyFill="1" applyBorder="1" applyAlignment="1">
      <alignment horizontal="left" vertical="top"/>
    </xf>
    <xf numFmtId="166" fontId="5" fillId="35" borderId="7" xfId="0" applyNumberFormat="1" applyFont="1" applyFill="1" applyBorder="1" applyAlignment="1">
      <alignment horizontal="left" vertical="top"/>
    </xf>
    <xf numFmtId="0" fontId="7" fillId="2" borderId="7" xfId="0" applyFont="1" applyFill="1" applyBorder="1" applyAlignment="1">
      <alignment horizontal="left" vertical="top"/>
    </xf>
    <xf numFmtId="166" fontId="7" fillId="2" borderId="7" xfId="0" applyNumberFormat="1" applyFont="1" applyFill="1" applyBorder="1" applyAlignment="1">
      <alignment horizontal="left" vertical="top"/>
    </xf>
    <xf numFmtId="0" fontId="5" fillId="37" borderId="7" xfId="0" applyFont="1" applyFill="1" applyBorder="1" applyAlignment="1">
      <alignment horizontal="left" vertical="top"/>
    </xf>
    <xf numFmtId="0" fontId="5" fillId="20" borderId="7" xfId="0" applyFont="1" applyFill="1" applyBorder="1" applyAlignment="1">
      <alignment horizontal="left" vertical="top"/>
    </xf>
    <xf numFmtId="166" fontId="5" fillId="17" borderId="8" xfId="0" applyNumberFormat="1" applyFont="1" applyFill="1" applyBorder="1" applyAlignment="1">
      <alignment horizontal="left" vertical="top"/>
    </xf>
    <xf numFmtId="44" fontId="0" fillId="17" borderId="9" xfId="0" applyNumberFormat="1" applyFill="1" applyBorder="1" applyAlignment="1">
      <alignment horizontal="left" vertical="top"/>
    </xf>
    <xf numFmtId="0" fontId="0" fillId="17" borderId="9" xfId="0" applyFill="1" applyBorder="1" applyAlignment="1">
      <alignment horizontal="left" vertical="top"/>
    </xf>
    <xf numFmtId="0" fontId="0" fillId="17" borderId="10" xfId="0" applyFill="1" applyBorder="1" applyAlignment="1">
      <alignment horizontal="left" vertical="top"/>
    </xf>
    <xf numFmtId="8" fontId="0" fillId="17" borderId="9" xfId="0" applyNumberFormat="1" applyFill="1" applyBorder="1" applyAlignment="1">
      <alignment horizontal="left" vertical="top"/>
    </xf>
    <xf numFmtId="0" fontId="5" fillId="17" borderId="8" xfId="0" applyFont="1" applyFill="1" applyBorder="1" applyAlignment="1">
      <alignment horizontal="left" vertical="top"/>
    </xf>
    <xf numFmtId="0" fontId="5" fillId="9" borderId="7" xfId="0" applyFont="1" applyFill="1" applyBorder="1" applyAlignment="1">
      <alignment horizontal="left" vertical="top"/>
    </xf>
    <xf numFmtId="0" fontId="5" fillId="31" borderId="7" xfId="0" applyFont="1" applyFill="1" applyBorder="1" applyAlignment="1">
      <alignment horizontal="left" vertical="top"/>
    </xf>
    <xf numFmtId="166" fontId="5" fillId="31" borderId="7" xfId="0" applyNumberFormat="1" applyFont="1" applyFill="1" applyBorder="1" applyAlignment="1">
      <alignment horizontal="left" vertical="top"/>
    </xf>
    <xf numFmtId="0" fontId="12" fillId="10" borderId="0" xfId="0" applyFont="1" applyFill="1" applyAlignment="1">
      <alignment horizontal="left" vertical="top"/>
    </xf>
    <xf numFmtId="0" fontId="0" fillId="10" borderId="0" xfId="0" applyFill="1" applyAlignment="1">
      <alignment horizontal="left" vertical="top"/>
    </xf>
    <xf numFmtId="0" fontId="22" fillId="10" borderId="0" xfId="0" applyFont="1" applyFill="1" applyAlignment="1">
      <alignment horizontal="left" vertical="top"/>
    </xf>
    <xf numFmtId="0" fontId="23" fillId="10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11" fillId="4" borderId="11" xfId="0" applyFont="1" applyFill="1" applyBorder="1" applyAlignment="1">
      <alignment horizontal="center" vertical="center" wrapText="1"/>
    </xf>
    <xf numFmtId="0" fontId="25" fillId="42" borderId="15" xfId="0" applyFont="1" applyFill="1" applyBorder="1" applyAlignment="1">
      <alignment horizontal="left" vertical="center" wrapText="1"/>
    </xf>
    <xf numFmtId="49" fontId="25" fillId="42" borderId="15" xfId="0" applyNumberFormat="1" applyFont="1" applyFill="1" applyBorder="1" applyAlignment="1">
      <alignment horizontal="left" vertical="center" wrapText="1"/>
    </xf>
    <xf numFmtId="0" fontId="25" fillId="42" borderId="15" xfId="0" applyFont="1" applyFill="1" applyBorder="1" applyAlignment="1">
      <alignment horizontal="center" vertical="center" wrapText="1"/>
    </xf>
    <xf numFmtId="14" fontId="25" fillId="42" borderId="15" xfId="0" applyNumberFormat="1" applyFont="1" applyFill="1" applyBorder="1" applyAlignment="1">
      <alignment horizontal="center" vertical="center" wrapText="1"/>
    </xf>
    <xf numFmtId="169" fontId="25" fillId="42" borderId="15" xfId="0" applyNumberFormat="1" applyFont="1" applyFill="1" applyBorder="1" applyAlignment="1">
      <alignment horizontal="right" vertical="center" wrapText="1"/>
    </xf>
    <xf numFmtId="4" fontId="25" fillId="42" borderId="15" xfId="0" applyNumberFormat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" fontId="25" fillId="42" borderId="15" xfId="0" applyNumberFormat="1" applyFont="1" applyFill="1" applyBorder="1" applyAlignment="1">
      <alignment horizontal="right" vertical="center" wrapText="1"/>
    </xf>
    <xf numFmtId="0" fontId="25" fillId="42" borderId="16" xfId="0" applyFont="1" applyFill="1" applyBorder="1" applyAlignment="1">
      <alignment horizontal="center" vertical="center" wrapText="1"/>
    </xf>
    <xf numFmtId="0" fontId="25" fillId="18" borderId="15" xfId="0" applyFont="1" applyFill="1" applyBorder="1" applyAlignment="1">
      <alignment horizontal="left" vertical="center" wrapText="1"/>
    </xf>
    <xf numFmtId="49" fontId="25" fillId="18" borderId="15" xfId="0" applyNumberFormat="1" applyFont="1" applyFill="1" applyBorder="1" applyAlignment="1">
      <alignment horizontal="left" vertical="center" wrapText="1"/>
    </xf>
    <xf numFmtId="0" fontId="25" fillId="18" borderId="15" xfId="0" applyFont="1" applyFill="1" applyBorder="1" applyAlignment="1">
      <alignment horizontal="center" vertical="center" wrapText="1"/>
    </xf>
    <xf numFmtId="14" fontId="25" fillId="18" borderId="15" xfId="0" applyNumberFormat="1" applyFont="1" applyFill="1" applyBorder="1" applyAlignment="1">
      <alignment horizontal="center" vertical="center" wrapText="1"/>
    </xf>
    <xf numFmtId="169" fontId="25" fillId="18" borderId="15" xfId="0" applyNumberFormat="1" applyFont="1" applyFill="1" applyBorder="1" applyAlignment="1">
      <alignment horizontal="right" vertical="center" wrapText="1"/>
    </xf>
    <xf numFmtId="4" fontId="25" fillId="18" borderId="15" xfId="0" applyNumberFormat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" fontId="25" fillId="18" borderId="15" xfId="0" applyNumberFormat="1" applyFont="1" applyFill="1" applyBorder="1" applyAlignment="1">
      <alignment horizontal="right" vertical="center" wrapText="1"/>
    </xf>
    <xf numFmtId="0" fontId="25" fillId="18" borderId="16" xfId="0" applyFont="1" applyFill="1" applyBorder="1" applyAlignment="1">
      <alignment horizontal="center" vertical="center" wrapText="1"/>
    </xf>
    <xf numFmtId="0" fontId="26" fillId="18" borderId="15" xfId="0" applyFont="1" applyFill="1" applyBorder="1" applyAlignment="1">
      <alignment horizontal="left" vertical="center" wrapText="1"/>
    </xf>
    <xf numFmtId="0" fontId="27" fillId="18" borderId="15" xfId="0" applyFont="1" applyFill="1" applyBorder="1" applyAlignment="1">
      <alignment horizontal="center" vertical="center" wrapText="1"/>
    </xf>
    <xf numFmtId="0" fontId="26" fillId="18" borderId="15" xfId="2" applyFont="1" applyFill="1" applyBorder="1" applyAlignment="1">
      <alignment horizontal="left" vertical="center"/>
    </xf>
    <xf numFmtId="0" fontId="26" fillId="42" borderId="15" xfId="2" applyFont="1" applyFill="1" applyBorder="1" applyAlignment="1">
      <alignment horizontal="left" vertical="center"/>
    </xf>
    <xf numFmtId="0" fontId="28" fillId="42" borderId="15" xfId="0" applyFont="1" applyFill="1" applyBorder="1" applyAlignment="1">
      <alignment horizontal="center" vertical="center" wrapText="1"/>
    </xf>
    <xf numFmtId="0" fontId="25" fillId="18" borderId="18" xfId="0" applyFont="1" applyFill="1" applyBorder="1" applyAlignment="1">
      <alignment horizontal="left" vertical="center" wrapText="1"/>
    </xf>
    <xf numFmtId="49" fontId="25" fillId="18" borderId="18" xfId="0" applyNumberFormat="1" applyFont="1" applyFill="1" applyBorder="1" applyAlignment="1">
      <alignment horizontal="left" vertical="center" wrapText="1"/>
    </xf>
    <xf numFmtId="0" fontId="25" fillId="18" borderId="18" xfId="0" applyFont="1" applyFill="1" applyBorder="1" applyAlignment="1">
      <alignment horizontal="center" vertical="center" wrapText="1"/>
    </xf>
    <xf numFmtId="14" fontId="25" fillId="18" borderId="18" xfId="0" applyNumberFormat="1" applyFont="1" applyFill="1" applyBorder="1" applyAlignment="1">
      <alignment horizontal="center" vertical="center" wrapText="1"/>
    </xf>
    <xf numFmtId="169" fontId="25" fillId="18" borderId="18" xfId="0" applyNumberFormat="1" applyFont="1" applyFill="1" applyBorder="1" applyAlignment="1">
      <alignment horizontal="right" vertical="center" wrapText="1"/>
    </xf>
    <xf numFmtId="4" fontId="25" fillId="18" borderId="18" xfId="0" applyNumberFormat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" fontId="25" fillId="18" borderId="18" xfId="0" applyNumberFormat="1" applyFont="1" applyFill="1" applyBorder="1" applyAlignment="1">
      <alignment horizontal="right" vertical="center" wrapText="1"/>
    </xf>
    <xf numFmtId="0" fontId="29" fillId="18" borderId="18" xfId="2" applyFont="1" applyFill="1" applyBorder="1" applyAlignment="1">
      <alignment horizontal="left" vertical="center" wrapText="1"/>
    </xf>
    <xf numFmtId="0" fontId="28" fillId="18" borderId="18" xfId="0" applyFont="1" applyFill="1" applyBorder="1" applyAlignment="1">
      <alignment horizontal="center" vertical="center" wrapText="1"/>
    </xf>
    <xf numFmtId="0" fontId="25" fillId="18" borderId="19" xfId="0" applyFont="1" applyFill="1" applyBorder="1" applyAlignment="1">
      <alignment horizontal="center" vertical="center" wrapText="1"/>
    </xf>
    <xf numFmtId="0" fontId="30" fillId="43" borderId="23" xfId="0" applyFont="1" applyFill="1" applyBorder="1" applyAlignment="1">
      <alignment horizontal="left" vertical="center" wrapText="1"/>
    </xf>
    <xf numFmtId="0" fontId="30" fillId="43" borderId="23" xfId="0" applyFont="1" applyFill="1" applyBorder="1" applyAlignment="1">
      <alignment horizontal="center" vertical="center" wrapText="1"/>
    </xf>
    <xf numFmtId="0" fontId="31" fillId="43" borderId="23" xfId="2" applyFont="1" applyFill="1" applyBorder="1" applyAlignment="1">
      <alignment horizontal="left" vertical="center" wrapText="1"/>
    </xf>
    <xf numFmtId="0" fontId="30" fillId="43" borderId="24" xfId="0" applyFont="1" applyFill="1" applyBorder="1" applyAlignment="1">
      <alignment horizontal="center" vertical="center" wrapText="1"/>
    </xf>
    <xf numFmtId="0" fontId="25" fillId="18" borderId="21" xfId="0" applyFont="1" applyFill="1" applyBorder="1" applyAlignment="1">
      <alignment horizontal="left" vertical="center" wrapText="1"/>
    </xf>
    <xf numFmtId="49" fontId="25" fillId="18" borderId="21" xfId="0" applyNumberFormat="1" applyFont="1" applyFill="1" applyBorder="1" applyAlignment="1">
      <alignment horizontal="left" vertical="center" wrapText="1"/>
    </xf>
    <xf numFmtId="0" fontId="25" fillId="18" borderId="21" xfId="0" applyFont="1" applyFill="1" applyBorder="1" applyAlignment="1">
      <alignment horizontal="center" vertical="center" wrapText="1"/>
    </xf>
    <xf numFmtId="14" fontId="25" fillId="18" borderId="21" xfId="0" applyNumberFormat="1" applyFont="1" applyFill="1" applyBorder="1" applyAlignment="1">
      <alignment horizontal="center" vertical="center" wrapText="1"/>
    </xf>
    <xf numFmtId="169" fontId="25" fillId="18" borderId="21" xfId="0" applyNumberFormat="1" applyFont="1" applyFill="1" applyBorder="1" applyAlignment="1">
      <alignment horizontal="right" vertical="center" wrapText="1"/>
    </xf>
    <xf numFmtId="4" fontId="25" fillId="18" borderId="21" xfId="0" applyNumberFormat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" fontId="25" fillId="18" borderId="21" xfId="0" applyNumberFormat="1" applyFont="1" applyFill="1" applyBorder="1" applyAlignment="1">
      <alignment horizontal="right" vertical="center" wrapText="1"/>
    </xf>
    <xf numFmtId="0" fontId="26" fillId="18" borderId="21" xfId="2" applyFont="1" applyFill="1" applyBorder="1" applyAlignment="1">
      <alignment horizontal="left" vertical="center" wrapText="1"/>
    </xf>
    <xf numFmtId="0" fontId="28" fillId="18" borderId="21" xfId="0" applyFont="1" applyFill="1" applyBorder="1" applyAlignment="1">
      <alignment horizontal="center" vertical="center" wrapText="1"/>
    </xf>
    <xf numFmtId="0" fontId="25" fillId="18" borderId="22" xfId="0" applyFont="1" applyFill="1" applyBorder="1" applyAlignment="1">
      <alignment horizontal="center" vertical="center" wrapText="1"/>
    </xf>
    <xf numFmtId="0" fontId="26" fillId="42" borderId="15" xfId="2" applyFont="1" applyFill="1" applyBorder="1" applyAlignment="1">
      <alignment horizontal="left" vertical="center" wrapText="1"/>
    </xf>
    <xf numFmtId="0" fontId="32" fillId="18" borderId="15" xfId="0" applyFont="1" applyFill="1" applyBorder="1" applyAlignment="1">
      <alignment horizontal="left" vertical="center" wrapText="1"/>
    </xf>
    <xf numFmtId="0" fontId="32" fillId="18" borderId="15" xfId="0" applyFont="1" applyFill="1" applyBorder="1" applyAlignment="1">
      <alignment horizontal="center" vertical="center" wrapText="1"/>
    </xf>
    <xf numFmtId="169" fontId="32" fillId="18" borderId="15" xfId="0" applyNumberFormat="1" applyFont="1" applyFill="1" applyBorder="1" applyAlignment="1">
      <alignment horizontal="right" vertical="center" wrapText="1"/>
    </xf>
    <xf numFmtId="0" fontId="32" fillId="18" borderId="15" xfId="0" applyFont="1" applyFill="1" applyBorder="1" applyAlignment="1">
      <alignment horizontal="right" vertical="center"/>
    </xf>
    <xf numFmtId="0" fontId="32" fillId="18" borderId="15" xfId="0" applyFont="1" applyFill="1" applyBorder="1" applyAlignment="1">
      <alignment horizontal="center" vertical="center"/>
    </xf>
    <xf numFmtId="0" fontId="28" fillId="18" borderId="15" xfId="0" applyFont="1" applyFill="1" applyBorder="1" applyAlignment="1">
      <alignment horizontal="center" vertical="center" wrapText="1"/>
    </xf>
    <xf numFmtId="0" fontId="32" fillId="18" borderId="16" xfId="0" applyFont="1" applyFill="1" applyBorder="1" applyAlignment="1">
      <alignment horizontal="center" vertical="center"/>
    </xf>
    <xf numFmtId="0" fontId="32" fillId="42" borderId="15" xfId="0" applyFont="1" applyFill="1" applyBorder="1" applyAlignment="1">
      <alignment horizontal="center" vertical="center" wrapText="1"/>
    </xf>
    <xf numFmtId="0" fontId="26" fillId="18" borderId="15" xfId="2" applyFont="1" applyFill="1" applyBorder="1" applyAlignment="1">
      <alignment horizontal="left" vertical="center" wrapText="1"/>
    </xf>
    <xf numFmtId="0" fontId="33" fillId="42" borderId="15" xfId="0" applyFont="1" applyFill="1" applyBorder="1" applyAlignment="1">
      <alignment horizontal="center" vertical="center" wrapText="1"/>
    </xf>
    <xf numFmtId="0" fontId="29" fillId="18" borderId="15" xfId="2" applyFont="1" applyFill="1" applyBorder="1" applyAlignment="1">
      <alignment horizontal="left" vertical="center"/>
    </xf>
    <xf numFmtId="0" fontId="32" fillId="42" borderId="15" xfId="0" applyFont="1" applyFill="1" applyBorder="1" applyAlignment="1">
      <alignment horizontal="left" vertical="center" wrapText="1"/>
    </xf>
    <xf numFmtId="49" fontId="32" fillId="42" borderId="15" xfId="0" applyNumberFormat="1" applyFont="1" applyFill="1" applyBorder="1" applyAlignment="1">
      <alignment horizontal="left" vertical="center" wrapText="1"/>
    </xf>
    <xf numFmtId="14" fontId="32" fillId="42" borderId="15" xfId="0" applyNumberFormat="1" applyFont="1" applyFill="1" applyBorder="1" applyAlignment="1">
      <alignment horizontal="center" vertical="center" wrapText="1"/>
    </xf>
    <xf numFmtId="169" fontId="32" fillId="42" borderId="15" xfId="0" applyNumberFormat="1" applyFont="1" applyFill="1" applyBorder="1" applyAlignment="1">
      <alignment horizontal="right" vertical="center" wrapText="1"/>
    </xf>
    <xf numFmtId="4" fontId="32" fillId="42" borderId="15" xfId="0" applyNumberFormat="1" applyFont="1" applyFill="1" applyBorder="1" applyAlignment="1">
      <alignment horizontal="right" vertical="center" wrapText="1"/>
    </xf>
    <xf numFmtId="0" fontId="34" fillId="42" borderId="15" xfId="2" applyFont="1" applyFill="1" applyBorder="1" applyAlignment="1">
      <alignment horizontal="left" vertical="center" wrapText="1"/>
    </xf>
    <xf numFmtId="0" fontId="29" fillId="42" borderId="15" xfId="2" applyFont="1" applyFill="1" applyBorder="1" applyAlignment="1">
      <alignment horizontal="left" vertical="center"/>
    </xf>
    <xf numFmtId="49" fontId="32" fillId="18" borderId="15" xfId="0" applyNumberFormat="1" applyFont="1" applyFill="1" applyBorder="1" applyAlignment="1">
      <alignment horizontal="left" vertical="center" wrapText="1"/>
    </xf>
    <xf numFmtId="14" fontId="32" fillId="18" borderId="15" xfId="0" applyNumberFormat="1" applyFont="1" applyFill="1" applyBorder="1" applyAlignment="1">
      <alignment horizontal="center" vertical="center" wrapText="1"/>
    </xf>
    <xf numFmtId="4" fontId="32" fillId="18" borderId="15" xfId="0" applyNumberFormat="1" applyFont="1" applyFill="1" applyBorder="1" applyAlignment="1">
      <alignment horizontal="right" vertical="center" wrapText="1"/>
    </xf>
    <xf numFmtId="0" fontId="34" fillId="18" borderId="15" xfId="2" applyFont="1" applyFill="1" applyBorder="1" applyAlignment="1">
      <alignment horizontal="left" vertical="center"/>
    </xf>
    <xf numFmtId="0" fontId="32" fillId="18" borderId="16" xfId="0" applyFont="1" applyFill="1" applyBorder="1" applyAlignment="1">
      <alignment horizontal="center" vertical="center" wrapText="1"/>
    </xf>
    <xf numFmtId="0" fontId="32" fillId="42" borderId="16" xfId="0" applyFont="1" applyFill="1" applyBorder="1" applyAlignment="1">
      <alignment horizontal="center" vertical="center" wrapText="1"/>
    </xf>
    <xf numFmtId="0" fontId="29" fillId="18" borderId="15" xfId="2" applyFont="1" applyFill="1" applyBorder="1" applyAlignment="1">
      <alignment horizontal="left" vertical="center" wrapText="1"/>
    </xf>
    <xf numFmtId="0" fontId="29" fillId="42" borderId="15" xfId="2" applyFont="1" applyFill="1" applyBorder="1" applyAlignment="1">
      <alignment horizontal="left" vertical="center" wrapText="1"/>
    </xf>
    <xf numFmtId="0" fontId="25" fillId="42" borderId="18" xfId="0" applyFont="1" applyFill="1" applyBorder="1" applyAlignment="1">
      <alignment horizontal="left" vertical="center" wrapText="1"/>
    </xf>
    <xf numFmtId="49" fontId="25" fillId="42" borderId="18" xfId="0" applyNumberFormat="1" applyFont="1" applyFill="1" applyBorder="1" applyAlignment="1">
      <alignment horizontal="left" vertical="center" wrapText="1"/>
    </xf>
    <xf numFmtId="0" fontId="25" fillId="42" borderId="18" xfId="0" applyFont="1" applyFill="1" applyBorder="1" applyAlignment="1">
      <alignment horizontal="center" vertical="center" wrapText="1"/>
    </xf>
    <xf numFmtId="14" fontId="25" fillId="42" borderId="18" xfId="0" applyNumberFormat="1" applyFont="1" applyFill="1" applyBorder="1" applyAlignment="1">
      <alignment horizontal="center" vertical="center" wrapText="1"/>
    </xf>
    <xf numFmtId="169" fontId="25" fillId="42" borderId="18" xfId="0" applyNumberFormat="1" applyFont="1" applyFill="1" applyBorder="1" applyAlignment="1">
      <alignment horizontal="right" vertical="center" wrapText="1"/>
    </xf>
    <xf numFmtId="4" fontId="25" fillId="42" borderId="18" xfId="0" applyNumberFormat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" fontId="25" fillId="42" borderId="18" xfId="0" applyNumberFormat="1" applyFont="1" applyFill="1" applyBorder="1" applyAlignment="1">
      <alignment horizontal="right" vertical="center" wrapText="1"/>
    </xf>
    <xf numFmtId="0" fontId="29" fillId="42" borderId="18" xfId="2" applyFont="1" applyFill="1" applyBorder="1" applyAlignment="1">
      <alignment horizontal="left" vertical="center" wrapText="1"/>
    </xf>
    <xf numFmtId="0" fontId="25" fillId="42" borderId="19" xfId="0" applyFont="1" applyFill="1" applyBorder="1" applyAlignment="1">
      <alignment horizontal="center" vertical="center" wrapText="1"/>
    </xf>
    <xf numFmtId="0" fontId="25" fillId="42" borderId="14" xfId="0" applyFont="1" applyFill="1" applyBorder="1" applyAlignment="1">
      <alignment horizontal="left" vertical="center" wrapText="1"/>
    </xf>
    <xf numFmtId="0" fontId="35" fillId="42" borderId="15" xfId="0" applyFont="1" applyFill="1" applyBorder="1" applyAlignment="1">
      <alignment horizontal="left" vertical="center" wrapText="1"/>
    </xf>
    <xf numFmtId="0" fontId="25" fillId="18" borderId="14" xfId="0" applyFont="1" applyFill="1" applyBorder="1" applyAlignment="1">
      <alignment horizontal="left" vertical="center" wrapText="1"/>
    </xf>
    <xf numFmtId="0" fontId="35" fillId="18" borderId="15" xfId="0" applyFont="1" applyFill="1" applyBorder="1" applyAlignment="1">
      <alignment horizontal="left" vertical="center" wrapText="1"/>
    </xf>
    <xf numFmtId="0" fontId="36" fillId="42" borderId="14" xfId="0" applyFont="1" applyFill="1" applyBorder="1" applyAlignment="1">
      <alignment horizontal="left" vertical="center" wrapText="1"/>
    </xf>
    <xf numFmtId="0" fontId="36" fillId="18" borderId="14" xfId="0" applyFont="1" applyFill="1" applyBorder="1" applyAlignment="1">
      <alignment horizontal="left" vertical="center" wrapText="1"/>
    </xf>
    <xf numFmtId="0" fontId="36" fillId="18" borderId="17" xfId="0" applyFont="1" applyFill="1" applyBorder="1" applyAlignment="1">
      <alignment horizontal="left" vertical="center" wrapText="1"/>
    </xf>
    <xf numFmtId="0" fontId="35" fillId="18" borderId="18" xfId="0" applyFont="1" applyFill="1" applyBorder="1" applyAlignment="1">
      <alignment horizontal="left" vertical="center" wrapText="1"/>
    </xf>
    <xf numFmtId="0" fontId="36" fillId="18" borderId="20" xfId="0" applyFont="1" applyFill="1" applyBorder="1" applyAlignment="1">
      <alignment horizontal="left" vertical="center" wrapText="1"/>
    </xf>
    <xf numFmtId="0" fontId="35" fillId="18" borderId="21" xfId="0" applyFont="1" applyFill="1" applyBorder="1" applyAlignment="1">
      <alignment horizontal="left" vertical="center" wrapText="1"/>
    </xf>
    <xf numFmtId="0" fontId="32" fillId="18" borderId="14" xfId="0" applyFont="1" applyFill="1" applyBorder="1" applyAlignment="1">
      <alignment horizontal="left" vertical="center" wrapText="1"/>
    </xf>
    <xf numFmtId="0" fontId="37" fillId="18" borderId="15" xfId="0" applyFont="1" applyFill="1" applyBorder="1" applyAlignment="1">
      <alignment horizontal="left" vertical="center" wrapText="1"/>
    </xf>
    <xf numFmtId="0" fontId="37" fillId="42" borderId="15" xfId="0" applyFont="1" applyFill="1" applyBorder="1" applyAlignment="1">
      <alignment horizontal="left" vertical="center" wrapText="1"/>
    </xf>
    <xf numFmtId="0" fontId="35" fillId="42" borderId="18" xfId="0" applyFont="1" applyFill="1" applyBorder="1" applyAlignment="1">
      <alignment horizontal="left" vertical="center" wrapText="1"/>
    </xf>
    <xf numFmtId="0" fontId="11" fillId="2" borderId="12" xfId="0" applyFont="1" applyFill="1" applyBorder="1" applyAlignment="1">
      <alignment horizontal="center" vertical="center" wrapText="1"/>
    </xf>
    <xf numFmtId="169" fontId="11" fillId="2" borderId="12" xfId="0" applyNumberFormat="1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169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left" vertical="top"/>
    </xf>
    <xf numFmtId="0" fontId="0" fillId="41" borderId="0" xfId="0" applyFill="1" applyAlignment="1">
      <alignment horizontal="left" vertical="top"/>
    </xf>
    <xf numFmtId="0" fontId="36" fillId="0" borderId="14" xfId="0" applyFont="1" applyBorder="1" applyAlignment="1">
      <alignment horizontal="left" vertical="center" wrapText="1"/>
    </xf>
    <xf numFmtId="0" fontId="4" fillId="0" borderId="0" xfId="2" applyAlignment="1">
      <alignment horizontal="left" vertical="top"/>
    </xf>
    <xf numFmtId="0" fontId="0" fillId="0" borderId="0" xfId="0" applyAlignment="1">
      <alignment horizontal="left" vertical="top" wrapText="1"/>
    </xf>
    <xf numFmtId="1" fontId="32" fillId="18" borderId="15" xfId="0" applyNumberFormat="1" applyFont="1" applyFill="1" applyBorder="1" applyAlignment="1">
      <alignment horizontal="left" vertical="center" wrapText="1"/>
    </xf>
    <xf numFmtId="1" fontId="25" fillId="42" borderId="15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7" xfId="0" applyBorder="1" applyAlignment="1">
      <alignment horizontal="left" vertical="top"/>
    </xf>
    <xf numFmtId="0" fontId="5" fillId="35" borderId="7" xfId="0" applyFont="1" applyFill="1" applyBorder="1" applyAlignment="1">
      <alignment horizontal="left" vertical="top"/>
    </xf>
    <xf numFmtId="0" fontId="5" fillId="16" borderId="7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168" fontId="5" fillId="0" borderId="0" xfId="0" applyNumberFormat="1" applyFont="1" applyAlignment="1">
      <alignment horizontal="left" vertical="top"/>
    </xf>
    <xf numFmtId="0" fontId="38" fillId="44" borderId="25" xfId="0" applyFont="1" applyFill="1" applyBorder="1" applyAlignment="1">
      <alignment horizontal="center" vertical="center" wrapText="1"/>
    </xf>
    <xf numFmtId="0" fontId="38" fillId="44" borderId="26" xfId="0" applyFont="1" applyFill="1" applyBorder="1" applyAlignment="1">
      <alignment horizontal="center" vertical="center" wrapText="1"/>
    </xf>
    <xf numFmtId="0" fontId="38" fillId="44" borderId="27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top"/>
    </xf>
    <xf numFmtId="0" fontId="0" fillId="0" borderId="0" xfId="0" applyAlignment="1">
      <alignment horizontal="left" vertical="top"/>
    </xf>
    <xf numFmtId="0" fontId="9" fillId="3" borderId="0" xfId="0" applyFont="1" applyFill="1" applyAlignment="1">
      <alignment horizontal="center" vertical="top"/>
    </xf>
    <xf numFmtId="0" fontId="21" fillId="5" borderId="0" xfId="0" applyFont="1" applyFill="1" applyAlignment="1">
      <alignment horizontal="left" vertical="top"/>
    </xf>
    <xf numFmtId="0" fontId="21" fillId="32" borderId="0" xfId="0" applyFont="1" applyFill="1" applyAlignment="1">
      <alignment horizontal="left" vertical="top"/>
    </xf>
    <xf numFmtId="0" fontId="21" fillId="15" borderId="0" xfId="0" applyFont="1" applyFill="1" applyAlignment="1">
      <alignment horizontal="left" vertical="top"/>
    </xf>
    <xf numFmtId="0" fontId="5" fillId="34" borderId="7" xfId="0" applyFont="1" applyFill="1" applyBorder="1" applyAlignment="1">
      <alignment horizontal="left" vertical="center"/>
    </xf>
    <xf numFmtId="0" fontId="0" fillId="0" borderId="7" xfId="0" applyBorder="1" applyAlignment="1">
      <alignment horizontal="left" vertical="top"/>
    </xf>
    <xf numFmtId="0" fontId="5" fillId="35" borderId="7" xfId="0" applyFont="1" applyFill="1" applyBorder="1" applyAlignment="1">
      <alignment horizontal="left" vertical="top"/>
    </xf>
    <xf numFmtId="0" fontId="21" fillId="11" borderId="0" xfId="0" applyFont="1" applyFill="1" applyAlignment="1">
      <alignment horizontal="left" vertical="top"/>
    </xf>
    <xf numFmtId="0" fontId="5" fillId="36" borderId="0" xfId="0" applyFont="1" applyFill="1" applyAlignment="1">
      <alignment horizontal="left" vertical="top"/>
    </xf>
    <xf numFmtId="0" fontId="5" fillId="33" borderId="7" xfId="0" applyFont="1" applyFill="1" applyBorder="1" applyAlignment="1">
      <alignment horizontal="left" vertical="center"/>
    </xf>
    <xf numFmtId="0" fontId="5" fillId="16" borderId="7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21" fillId="40" borderId="0" xfId="0" applyFont="1" applyFill="1" applyAlignment="1">
      <alignment horizontal="left" vertical="top"/>
    </xf>
    <xf numFmtId="0" fontId="21" fillId="12" borderId="0" xfId="0" applyFont="1" applyFill="1" applyAlignment="1">
      <alignment horizontal="left" vertical="top"/>
    </xf>
    <xf numFmtId="0" fontId="24" fillId="11" borderId="0" xfId="0" applyFont="1" applyFill="1" applyAlignment="1">
      <alignment horizontal="left" vertical="top"/>
    </xf>
    <xf numFmtId="0" fontId="24" fillId="2" borderId="0" xfId="0" applyFont="1" applyFill="1" applyAlignment="1">
      <alignment horizontal="left" vertical="top"/>
    </xf>
    <xf numFmtId="0" fontId="16" fillId="0" borderId="0" xfId="0" applyFont="1" applyAlignment="1">
      <alignment horizontal="left" vertical="top"/>
    </xf>
    <xf numFmtId="0" fontId="21" fillId="38" borderId="0" xfId="0" applyFont="1" applyFill="1" applyAlignment="1">
      <alignment horizontal="left" vertical="top"/>
    </xf>
    <xf numFmtId="0" fontId="21" fillId="39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8" fontId="6" fillId="0" borderId="0" xfId="0" applyNumberFormat="1" applyFont="1" applyAlignment="1">
      <alignment horizontal="left" vertical="top"/>
    </xf>
    <xf numFmtId="8" fontId="7" fillId="12" borderId="0" xfId="0" applyNumberFormat="1" applyFont="1" applyFill="1" applyAlignment="1">
      <alignment horizontal="left" vertical="top"/>
    </xf>
    <xf numFmtId="8" fontId="7" fillId="25" borderId="0" xfId="0" applyNumberFormat="1" applyFont="1" applyFill="1" applyAlignment="1">
      <alignment horizontal="left" vertical="top"/>
    </xf>
    <xf numFmtId="8" fontId="7" fillId="2" borderId="0" xfId="0" applyNumberFormat="1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10" borderId="0" xfId="0" applyFont="1" applyFill="1" applyAlignment="1">
      <alignment horizontal="left" vertical="top"/>
    </xf>
    <xf numFmtId="168" fontId="5" fillId="8" borderId="0" xfId="0" applyNumberFormat="1" applyFont="1" applyFill="1" applyAlignment="1">
      <alignment horizontal="left" vertical="top"/>
    </xf>
    <xf numFmtId="168" fontId="5" fillId="28" borderId="0" xfId="0" applyNumberFormat="1" applyFont="1" applyFill="1" applyAlignment="1">
      <alignment horizontal="left" vertical="top"/>
    </xf>
    <xf numFmtId="168" fontId="5" fillId="14" borderId="0" xfId="0" applyNumberFormat="1" applyFont="1" applyFill="1" applyAlignment="1">
      <alignment horizontal="left" vertical="top"/>
    </xf>
    <xf numFmtId="0" fontId="5" fillId="21" borderId="0" xfId="0" applyFont="1" applyFill="1" applyAlignment="1">
      <alignment horizontal="left" vertical="top"/>
    </xf>
    <xf numFmtId="168" fontId="5" fillId="0" borderId="0" xfId="0" applyNumberFormat="1" applyFont="1" applyAlignment="1">
      <alignment horizontal="left" vertical="top"/>
    </xf>
  </cellXfs>
  <cellStyles count="3">
    <cellStyle name="Hiperlink" xfId="2" builtinId="8"/>
    <cellStyle name="Moeda" xfId="1" builtinId="4"/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Categorias de Saídas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'Resumo Geral'!$Q$8</c:f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'Resumo Geral'!$P$9:$P$13</c:f>
            </c:strRef>
          </c:cat>
          <c:val>
            <c:numRef>
              <c:f>'Resumo Geral'!$Q$9:$Q$13</c:f>
            </c:numRef>
          </c:val>
          <c:extLst>
            <c:ext xmlns:c16="http://schemas.microsoft.com/office/drawing/2014/chart" uri="{C3380CC4-5D6E-409C-BE32-E72D297353CC}">
              <c16:uniqueId val="{00000000-EF5C-4B3F-9D98-48E4D9DD6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Reembolsos por Beneficiário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Geral'!$T$1</c:f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'Resumo Geral'!$S$2:$S$5</c:f>
            </c:strRef>
          </c:cat>
          <c:val>
            <c:numRef>
              <c:f>'Resumo Geral'!$T$2:$T$5</c:f>
            </c:numRef>
          </c:val>
          <c:extLst>
            <c:ext xmlns:c16="http://schemas.microsoft.com/office/drawing/2014/chart" uri="{C3380CC4-5D6E-409C-BE32-E72D297353CC}">
              <c16:uniqueId val="{00000000-86AD-41B5-9ECE-AB0FADD7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4401287"/>
        <c:axId val="1907176968"/>
      </c:barChart>
      <c:catAx>
        <c:axId val="874401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176968"/>
        <c:crosses val="autoZero"/>
        <c:auto val="1"/>
        <c:lblAlgn val="ctr"/>
        <c:lblOffset val="100"/>
        <c:noMultiLvlLbl val="0"/>
      </c:catAx>
      <c:valAx>
        <c:axId val="1907176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01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Entradas vs Saídas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Geral'!$Q$5</c:f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'Resumo Geral'!$P$6:$P$10</c:f>
            </c:strRef>
          </c:cat>
          <c:val>
            <c:numRef>
              <c:f>'Resumo Geral'!$Q$6:$Q$10</c:f>
            </c:numRef>
          </c:val>
          <c:extLst>
            <c:ext xmlns:c16="http://schemas.microsoft.com/office/drawing/2014/chart" uri="{C3380CC4-5D6E-409C-BE32-E72D297353CC}">
              <c16:uniqueId val="{00000000-F730-4674-A857-C81F4B87A32F}"/>
            </c:ext>
          </c:extLst>
        </c:ser>
        <c:ser>
          <c:idx val="1"/>
          <c:order val="1"/>
          <c:tx>
            <c:strRef>
              <c:f>'Resumo Geral'!$R$5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'Resumo Geral'!$P$6:$P$10</c:f>
            </c:strRef>
          </c:cat>
          <c:val>
            <c:numRef>
              <c:f>'Resumo Geral'!$R$6:$R$10</c:f>
            </c:numRef>
          </c:val>
          <c:extLst>
            <c:ext xmlns:c16="http://schemas.microsoft.com/office/drawing/2014/chart" uri="{C3380CC4-5D6E-409C-BE32-E72D297353CC}">
              <c16:uniqueId val="{00000002-F730-4674-A857-C81F4B87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08295"/>
        <c:axId val="1747805704"/>
      </c:barChart>
      <c:catAx>
        <c:axId val="100108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805704"/>
        <c:crosses val="autoZero"/>
        <c:auto val="1"/>
        <c:lblAlgn val="ctr"/>
        <c:lblOffset val="100"/>
        <c:noMultiLvlLbl val="0"/>
      </c:catAx>
      <c:valAx>
        <c:axId val="174780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8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Saldo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'Resumo Geral'!$Q$30</c:f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Geral'!$P$31:$P$35</c:f>
            </c:strRef>
          </c:cat>
          <c:val>
            <c:numRef>
              <c:f>'Resumo Geral'!$Q$31:$Q$35</c:f>
            </c:numRef>
          </c:val>
          <c:smooth val="0"/>
          <c:extLst>
            <c:ext xmlns:c16="http://schemas.microsoft.com/office/drawing/2014/chart" uri="{C3380CC4-5D6E-409C-BE32-E72D297353CC}">
              <c16:uniqueId val="{00000000-07E8-4C91-A34F-B3E7B6EA4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095752"/>
        <c:axId val="1752101896"/>
      </c:lineChart>
      <c:catAx>
        <c:axId val="1752095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101896"/>
        <c:crosses val="autoZero"/>
        <c:auto val="1"/>
        <c:lblAlgn val="ctr"/>
        <c:lblOffset val="100"/>
        <c:noMultiLvlLbl val="0"/>
      </c:catAx>
      <c:valAx>
        <c:axId val="175210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095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Entradas vs Saídas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'Consolidado Jan-Mai'!$J$44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'Consolidado Jan-Mai'!$I$45:$I$49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'Consolidado Jan-Mai'!$J$45:$J$49</c:f>
              <c:numCache>
                <c:formatCode>"R$"\ #,##0.00;[Red]"R$"\ #,##0.00</c:formatCode>
                <c:ptCount val="5"/>
                <c:pt idx="0">
                  <c:v>95097.810000000012</c:v>
                </c:pt>
                <c:pt idx="1">
                  <c:v>20972.27</c:v>
                </c:pt>
                <c:pt idx="2">
                  <c:v>106005.86</c:v>
                </c:pt>
                <c:pt idx="3">
                  <c:v>37961.449999999997</c:v>
                </c:pt>
                <c:pt idx="4">
                  <c:v>46299.59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B-4433-9039-8B4BC6180DC1}"/>
            </c:ext>
          </c:extLst>
        </c:ser>
        <c:ser>
          <c:idx val="1"/>
          <c:order val="1"/>
          <c:tx>
            <c:strRef>
              <c:f>'Consolidado Jan-Mai'!$K$44</c:f>
              <c:strCache>
                <c:ptCount val="1"/>
                <c:pt idx="0">
                  <c:v>Saídas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'Consolidado Jan-Mai'!$I$45:$I$49</c:f>
              <c:strCache>
                <c:ptCount val="5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</c:strCache>
            </c:strRef>
          </c:cat>
          <c:val>
            <c:numRef>
              <c:f>'Consolidado Jan-Mai'!$K$45:$K$49</c:f>
              <c:numCache>
                <c:formatCode>"R$"\ #,##0.00;[Red]"R$"\ #,##0.00</c:formatCode>
                <c:ptCount val="5"/>
                <c:pt idx="0">
                  <c:v>87588.14</c:v>
                </c:pt>
                <c:pt idx="1">
                  <c:v>32688.760000000002</c:v>
                </c:pt>
                <c:pt idx="2">
                  <c:v>86875.34</c:v>
                </c:pt>
                <c:pt idx="3">
                  <c:v>32607.71</c:v>
                </c:pt>
                <c:pt idx="4">
                  <c:v>50830.84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DB-4433-9039-8B4BC6180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564168"/>
        <c:axId val="1065571848"/>
      </c:barChart>
      <c:catAx>
        <c:axId val="1065564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571848"/>
        <c:crosses val="autoZero"/>
        <c:auto val="1"/>
        <c:lblAlgn val="ctr"/>
        <c:lblOffset val="100"/>
        <c:noMultiLvlLbl val="0"/>
      </c:catAx>
      <c:valAx>
        <c:axId val="106557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;[Red]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564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Saldo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'Consolidado Jan-Mai'!$N$44</c:f>
              <c:strCache>
                <c:ptCount val="1"/>
                <c:pt idx="0">
                  <c:v>Saldo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'Consolidado Jan-Mai'!$M$45:$M$49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'Consolidado Jan-Mai'!$N$45:$N$49</c:f>
              <c:numCache>
                <c:formatCode>\R"R$"\ #.##000</c:formatCode>
                <c:ptCount val="5"/>
                <c:pt idx="0">
                  <c:v>7509.6700000000128</c:v>
                </c:pt>
                <c:pt idx="1">
                  <c:v>-11716.490000000002</c:v>
                </c:pt>
                <c:pt idx="2">
                  <c:v>19130.520000000004</c:v>
                </c:pt>
                <c:pt idx="3">
                  <c:v>5353.739999999998</c:v>
                </c:pt>
                <c:pt idx="4">
                  <c:v>-4531.25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B3-4ACD-97ED-DF93B3516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816007"/>
        <c:axId val="2058843655"/>
      </c:lineChart>
      <c:catAx>
        <c:axId val="2058816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843655"/>
        <c:crosses val="autoZero"/>
        <c:auto val="1"/>
        <c:lblAlgn val="ctr"/>
        <c:lblOffset val="100"/>
        <c:noMultiLvlLbl val="0"/>
      </c:catAx>
      <c:valAx>
        <c:axId val="2058843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&quot;R$&quot;\ #.##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816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de Gastos Reais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'Consolidado Jan-Mai'!$Q$44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D1-43EC-89BC-9924F8DAA2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D1-43EC-89BC-9924F8DAA2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D1-43EC-89BC-9924F8DAA2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D1-43EC-89BC-9924F8DAA2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D1-43EC-89BC-9924F8DAA2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3D1-43EC-89BC-9924F8DAA2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3D1-43EC-89BC-9924F8DAA2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'Consolidado Jan-Mai'!$P$45:$P$51</c:f>
              <c:strCache>
                <c:ptCount val="7"/>
                <c:pt idx="0">
                  <c:v>Cartão</c:v>
                </c:pt>
                <c:pt idx="1">
                  <c:v>Financiamento</c:v>
                </c:pt>
                <c:pt idx="2">
                  <c:v>Escola</c:v>
                </c:pt>
                <c:pt idx="3">
                  <c:v>Transferência</c:v>
                </c:pt>
                <c:pt idx="4">
                  <c:v>Compras</c:v>
                </c:pt>
                <c:pt idx="5">
                  <c:v>Conta Luz/Internet/Seguro</c:v>
                </c:pt>
                <c:pt idx="6">
                  <c:v>Outros</c:v>
                </c:pt>
              </c:strCache>
            </c:strRef>
          </c:cat>
          <c:val>
            <c:numRef>
              <c:f>'Consolidado Jan-Mai'!$Q$45:$Q$51</c:f>
              <c:numCache>
                <c:formatCode>\R"R$"\ #.##000</c:formatCode>
                <c:ptCount val="7"/>
                <c:pt idx="0">
                  <c:v>42118.14</c:v>
                </c:pt>
                <c:pt idx="1">
                  <c:v>32019.47</c:v>
                </c:pt>
                <c:pt idx="2">
                  <c:v>36066.69</c:v>
                </c:pt>
                <c:pt idx="3">
                  <c:v>25840.769999999997</c:v>
                </c:pt>
                <c:pt idx="4">
                  <c:v>6993.3100000000013</c:v>
                </c:pt>
                <c:pt idx="5">
                  <c:v>4004.2099999999996</c:v>
                </c:pt>
                <c:pt idx="6">
                  <c:v>31464.200000000099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0-4CEC-B652-88413D575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Composição dos 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'Consolidado Jan-Mai'!$S$44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AC-4811-870E-B0A1BA8FB1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AC-4811-870E-B0A1BA8FB1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AC-4811-870E-B0A1BA8FB1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'Consolidado Jan-Mai'!$R$45:$R$47</c:f>
              <c:strCache>
                <c:ptCount val="3"/>
                <c:pt idx="0">
                  <c:v>Gastos Fixos</c:v>
                </c:pt>
                <c:pt idx="1">
                  <c:v>Investimentos</c:v>
                </c:pt>
                <c:pt idx="2">
                  <c:v>Gastos Variáveis</c:v>
                </c:pt>
              </c:strCache>
            </c:strRef>
          </c:cat>
          <c:val>
            <c:numRef>
              <c:f>'Consolidado Jan-Mai'!$S$45:$S$47</c:f>
              <c:numCache>
                <c:formatCode>\R"R$"\ #.##000</c:formatCode>
                <c:ptCount val="3"/>
                <c:pt idx="0">
                  <c:v>36023.679999999993</c:v>
                </c:pt>
                <c:pt idx="1">
                  <c:v>112084</c:v>
                </c:pt>
                <c:pt idx="2">
                  <c:v>142483.1100000001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9-4134-84C2-6672CCF8F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Ranking de Gastos por Categoria (Jan-Mai/2026)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'Consolidado Jan-Mai'!$V$2</c:f>
              <c:strCache>
                <c:ptCount val="1"/>
                <c:pt idx="0">
                  <c:v>Valor Total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numFmt formatCode="\R&quot;R$&quot;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'Consolidado Jan-Mai'!$U$3:$U$14</c:f>
              <c:strCache>
                <c:ptCount val="12"/>
                <c:pt idx="0">
                  <c:v>Cartão</c:v>
                </c:pt>
                <c:pt idx="1">
                  <c:v>Escola</c:v>
                </c:pt>
                <c:pt idx="2">
                  <c:v>Financiamento</c:v>
                </c:pt>
                <c:pt idx="3">
                  <c:v>Transferência</c:v>
                </c:pt>
                <c:pt idx="4">
                  <c:v>Condomínio</c:v>
                </c:pt>
                <c:pt idx="5">
                  <c:v>Terapia + Psicologia</c:v>
                </c:pt>
                <c:pt idx="6">
                  <c:v>Compras</c:v>
                </c:pt>
                <c:pt idx="7">
                  <c:v>Pagamento</c:v>
                </c:pt>
                <c:pt idx="8">
                  <c:v>Imposto</c:v>
                </c:pt>
                <c:pt idx="9">
                  <c:v>IPTU</c:v>
                </c:pt>
                <c:pt idx="10">
                  <c:v>Conta Luz</c:v>
                </c:pt>
                <c:pt idx="11">
                  <c:v>Farmácia</c:v>
                </c:pt>
              </c:strCache>
            </c:strRef>
          </c:cat>
          <c:val>
            <c:numRef>
              <c:f>'Consolidado Jan-Mai'!$V$3:$V$14</c:f>
              <c:numCache>
                <c:formatCode>\R"R$"\ #.##000</c:formatCode>
                <c:ptCount val="12"/>
                <c:pt idx="0">
                  <c:v>42118.14</c:v>
                </c:pt>
                <c:pt idx="1">
                  <c:v>36066.69</c:v>
                </c:pt>
                <c:pt idx="2">
                  <c:v>32019.47</c:v>
                </c:pt>
                <c:pt idx="3">
                  <c:v>25840.769999999997</c:v>
                </c:pt>
                <c:pt idx="4">
                  <c:v>7538.34</c:v>
                </c:pt>
                <c:pt idx="5">
                  <c:v>8170</c:v>
                </c:pt>
                <c:pt idx="6">
                  <c:v>6993.3100000000013</c:v>
                </c:pt>
                <c:pt idx="7">
                  <c:v>5231.83</c:v>
                </c:pt>
                <c:pt idx="8">
                  <c:v>3501.63</c:v>
                </c:pt>
                <c:pt idx="9">
                  <c:v>2298.1799999999998</c:v>
                </c:pt>
                <c:pt idx="10">
                  <c:v>1855.95</c:v>
                </c:pt>
                <c:pt idx="11">
                  <c:v>1717.87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C-476B-B270-131E64635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9972999"/>
        <c:axId val="1952292871"/>
      </c:barChart>
      <c:catAx>
        <c:axId val="1749972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92871"/>
        <c:crosses val="autoZero"/>
        <c:auto val="1"/>
        <c:lblAlgn val="ctr"/>
        <c:lblOffset val="100"/>
        <c:noMultiLvlLbl val="0"/>
      </c:catAx>
      <c:valAx>
        <c:axId val="1952292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&quot;R$&quot;\ #.##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972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60</xdr:row>
      <xdr:rowOff>0</xdr:rowOff>
    </xdr:from>
    <xdr:to>
      <xdr:col>10</xdr:col>
      <xdr:colOff>0</xdr:colOff>
      <xdr:row>73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6910CB4-B8BC-32E5-060E-592531B47392}"/>
            </a:ext>
            <a:ext uri="{147F2762-F138-4A5C-976F-8EAC2B608ADB}">
              <a16:predDERef xmlns:a16="http://schemas.microsoft.com/office/drawing/2014/main" pred="{055DCBC7-2DE4-9513-6EA2-CDBCA8F8A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0</xdr:colOff>
      <xdr:row>73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1BDFE6F-7950-126B-BE09-B9B6CE0F1D93}"/>
            </a:ext>
            <a:ext uri="{147F2762-F138-4A5C-976F-8EAC2B608ADB}">
              <a16:predDERef xmlns:a16="http://schemas.microsoft.com/office/drawing/2014/main" pred="{06910CB4-B8BC-32E5-060E-592531B47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5</xdr:col>
      <xdr:colOff>0</xdr:colOff>
      <xdr:row>73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228A6B7-BF94-B8EB-FF2E-8F0669E211B1}"/>
            </a:ext>
            <a:ext uri="{147F2762-F138-4A5C-976F-8EAC2B608ADB}">
              <a16:predDERef xmlns:a16="http://schemas.microsoft.com/office/drawing/2014/main" pred="{E1BDFE6F-7950-126B-BE09-B9B6CE0F1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10</xdr:col>
      <xdr:colOff>0</xdr:colOff>
      <xdr:row>85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B6AC253-ACA7-9FC6-F208-6F77930CAE9C}"/>
            </a:ext>
            <a:ext uri="{147F2762-F138-4A5C-976F-8EAC2B608ADB}">
              <a16:predDERef xmlns:a16="http://schemas.microsoft.com/office/drawing/2014/main" pred="{1228A6B7-BF94-B8EB-FF2E-8F0669E21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51</xdr:row>
      <xdr:rowOff>0</xdr:rowOff>
    </xdr:from>
    <xdr:to>
      <xdr:col>14</xdr:col>
      <xdr:colOff>0</xdr:colOff>
      <xdr:row>68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A5BF80-D97E-01D9-D4B1-0F6ECCC6B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51</xdr:row>
      <xdr:rowOff>0</xdr:rowOff>
    </xdr:from>
    <xdr:to>
      <xdr:col>20</xdr:col>
      <xdr:colOff>0</xdr:colOff>
      <xdr:row>68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D99B11-B426-BCCE-9155-136173C4C6A3}"/>
            </a:ext>
            <a:ext uri="{147F2762-F138-4A5C-976F-8EAC2B608ADB}">
              <a16:predDERef xmlns:a16="http://schemas.microsoft.com/office/drawing/2014/main" pred="{13A5BF80-D97E-01D9-D4B1-0F6ECCC6B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69</xdr:row>
      <xdr:rowOff>0</xdr:rowOff>
    </xdr:from>
    <xdr:to>
      <xdr:col>14</xdr:col>
      <xdr:colOff>0</xdr:colOff>
      <xdr:row>86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16E464B-C442-CF83-F06B-4FCEDD505356}"/>
            </a:ext>
            <a:ext uri="{147F2762-F138-4A5C-976F-8EAC2B608ADB}">
              <a16:predDERef xmlns:a16="http://schemas.microsoft.com/office/drawing/2014/main" pred="{89D99B11-B426-BCCE-9155-136173C4C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69</xdr:row>
      <xdr:rowOff>0</xdr:rowOff>
    </xdr:from>
    <xdr:to>
      <xdr:col>20</xdr:col>
      <xdr:colOff>0</xdr:colOff>
      <xdr:row>86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1C26321-8556-CB44-2035-19A2F824C94E}"/>
            </a:ext>
            <a:ext uri="{147F2762-F138-4A5C-976F-8EAC2B608ADB}">
              <a16:predDERef xmlns:a16="http://schemas.microsoft.com/office/drawing/2014/main" pred="{E16E464B-C442-CF83-F06B-4FCEDD505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15</xdr:row>
      <xdr:rowOff>0</xdr:rowOff>
    </xdr:from>
    <xdr:to>
      <xdr:col>29</xdr:col>
      <xdr:colOff>0</xdr:colOff>
      <xdr:row>38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35A295A-E5D9-0D3F-B762-EAF6908EA6EF}"/>
            </a:ext>
            <a:ext uri="{147F2762-F138-4A5C-976F-8EAC2B608ADB}">
              <a16:predDERef xmlns:a16="http://schemas.microsoft.com/office/drawing/2014/main" pred="{F1C26321-8556-CB44-2035-19A2F824C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1" id="{AC5AC40D-910D-4109-B061-47833828EDEC}">
    <nsvFilter filterId="{00000000-0001-0000-0000-000000000000}" ref="B1:S55" tableId="0">
      <columnFilter colId="6">
        <filter colId="6">
          <x:filters>
            <x:filter val="800,00 BRL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Usuário Convidado" id="{6B5D9E28-70A6-4ED5-B7B5-F42807E142EC}" userId="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66" dT="2026-06-16T18:37:52.55" personId="{6B5D9E28-70A6-4ED5-B7B5-F42807E142EC}" id="{5255A44B-89D3-4E1F-9305-1FE9A926C4FA}">
    <text xml:space="preserve">essa nota fiscal pedir para sino para pegar na nota fiscal paulista pq esta no nome dela
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B30A420-D523-4DB4-990A-FE4D52C8CC6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5852143-d627-4c27-818c-80fc1ddd8b1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00342F79-6034-4743-8219-B9E117200F60}">
  <we:reference id="wa104381701" version="1.0.0.4" store="pt-PT" storeType="OMEX"/>
  <we:alternateReferences>
    <we:reference id="WA104381701" version="1.0.0.4" store="WA10438170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b/c/141e5f921a6b48d1/IQCvdL_3ERn7Rpe34j1XpkP4AeuqgdVXQW5tr8bSWLKwr6U?e=iTiErx" TargetMode="External"/><Relationship Id="rId13" Type="http://schemas.openxmlformats.org/officeDocument/2006/relationships/hyperlink" Target="https://1drv.ms/b/c/141e5f921a6b48d1/IQAje42UJst_T5bMETH-cVjlAZqKUSi44iuf9XLmqEEKM9A?e=LQXOZB" TargetMode="External"/><Relationship Id="rId18" Type="http://schemas.openxmlformats.org/officeDocument/2006/relationships/hyperlink" Target="https://1drv.ms/b/c/141e5f921a6b48d1/IQCIFMWPKrW1S66okxEkRhRiAYzRJlDBF5eKhCcrYWbwM-0?e=DlX5nm" TargetMode="External"/><Relationship Id="rId3" Type="http://schemas.openxmlformats.org/officeDocument/2006/relationships/hyperlink" Target="https://1drv.ms/b/c/141e5f921a6b48d1/IQCmCLQqb9q3TaSwE7s7pnW6AW4zxUcQsEeH0YFFuSIufUo?e=pWYSb4" TargetMode="External"/><Relationship Id="rId21" Type="http://schemas.openxmlformats.org/officeDocument/2006/relationships/vmlDrawing" Target="../drawings/vmlDrawing1.vml"/><Relationship Id="rId7" Type="http://schemas.openxmlformats.org/officeDocument/2006/relationships/hyperlink" Target="https://1drv.ms/b/c/141e5f921a6b48d1/IQDf7cP-8ZOqQ7ot2W0F0VZCAVkk1zg95ha-U_7ITQQlNJQ?e=g5gcZy" TargetMode="External"/><Relationship Id="rId12" Type="http://schemas.openxmlformats.org/officeDocument/2006/relationships/hyperlink" Target="https://1drv.ms/b/c/141e5f921a6b48d1/IQCsb3x12yHKRKRs_7qQmdz7ATm0LuDX0kl_sq5Y_2Yuvws?e=rjDgav%20-" TargetMode="External"/><Relationship Id="rId17" Type="http://schemas.openxmlformats.org/officeDocument/2006/relationships/hyperlink" Target="https://1drv.ms/b/c/141e5f921a6b48d1/IQBG95YaUQ4qTKemkmqrnlk1AZ84Df5n3-hTbVjSbqvey4s?e=s8kcde" TargetMode="External"/><Relationship Id="rId2" Type="http://schemas.openxmlformats.org/officeDocument/2006/relationships/hyperlink" Target="https://1drv.ms/b/c/141e5f921a6b48d1/IQBZWaWL-Et9S6AJEEv6cgnQAUcWhnqYKeJwwdS-3UqZ9XQ?e=BOhGtC" TargetMode="External"/><Relationship Id="rId16" Type="http://schemas.openxmlformats.org/officeDocument/2006/relationships/hyperlink" Target="https://1drv.ms/b/c/141e5f921a6b48d1/IQAa0SONtq4LSJcKgfmVpTT3AdBTx6xf4z6jtIsHv43b0iQ?e=9EqQeB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1drv.ms/b/c/141e5f921a6b48d1/IQBZWaWL-Et9S6AJEEv6cgnQAUcWhnqYKeJwwdS-3UqZ9XQ?e=E0cSCr" TargetMode="External"/><Relationship Id="rId6" Type="http://schemas.openxmlformats.org/officeDocument/2006/relationships/hyperlink" Target="https://1drv.ms/b/c/141e5f921a6b48d1/IQDTPqB2x_ZKSoMg5ecmB0TsAQRskT27ONvfR48OENi9Kb0?e=3CKA2I" TargetMode="External"/><Relationship Id="rId11" Type="http://schemas.openxmlformats.org/officeDocument/2006/relationships/hyperlink" Target="https://1drv.ms/b/c/141e5f921a6b48d1/IQD6zIyibQzsTJtIubI3PIBXARJ-Px1sHEtw--W7JRVrbS8?e=rble7e" TargetMode="External"/><Relationship Id="rId24" Type="http://schemas.microsoft.com/office/2019/04/relationships/namedSheetView" Target="../namedSheetViews/namedSheetView1.xml"/><Relationship Id="rId5" Type="http://schemas.openxmlformats.org/officeDocument/2006/relationships/hyperlink" Target="https://1drv.ms/b/c/141e5f921a6b48d1/IQCErxsquo4UTLPgu03TRIpmAfuCreh1mvjuSM6DNH---hQ?e=Ods6ph" TargetMode="External"/><Relationship Id="rId15" Type="http://schemas.openxmlformats.org/officeDocument/2006/relationships/hyperlink" Target="https://1drv.ms/b/c/141e5f921a6b48d1/IQAiKcdEikCLRJRMQF1grKBuASG3szW6vWk1KfK2K3dQmzU?e=0pjrJX" TargetMode="External"/><Relationship Id="rId23" Type="http://schemas.microsoft.com/office/2017/10/relationships/threadedComment" Target="../threadedComments/threadedComment1.xml"/><Relationship Id="rId10" Type="http://schemas.openxmlformats.org/officeDocument/2006/relationships/hyperlink" Target="https://1drv.ms/b/c/141e5f921a6b48d1/IQAj2hJLCi0VRqigqKo5Gm4BATGEYv9pllsRgo6ep9ZQ-9c?e=DORJUW" TargetMode="External"/><Relationship Id="rId19" Type="http://schemas.openxmlformats.org/officeDocument/2006/relationships/hyperlink" Target="https://1drv.ms/b/c/141e5f921a6b48d1/IQBF06ew2ObzTpbUsV1xKEtXAU9YJ6u8XjzK2hkqjfEF3IY?e=hGQ2yx" TargetMode="External"/><Relationship Id="rId4" Type="http://schemas.openxmlformats.org/officeDocument/2006/relationships/hyperlink" Target="https://1drv.ms/b/c/141e5f921a6b48d1/IQCErxsquo4UTLPgu03TRIpmAfuCreh1mvjuSM6DNH---hQ?e=Ods6ph" TargetMode="External"/><Relationship Id="rId9" Type="http://schemas.openxmlformats.org/officeDocument/2006/relationships/hyperlink" Target="https://1drv.ms/b/c/141e5f921a6b48d1/IQAzQ4xIwBeuQrza80YuC2vRAQ6qqlRdK9TNFvz9EVbIiGw?e=36zkvK" TargetMode="External"/><Relationship Id="rId14" Type="http://schemas.openxmlformats.org/officeDocument/2006/relationships/hyperlink" Target="https://1drv.ms/b/c/141e5f921a6b48d1/IQD6evftI5mQT4tauc2bOibVAVBd9BvHuhaFpiJLoVNsTXs?e=44Ccgj" TargetMode="External"/><Relationship Id="rId2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427C-3C50-4892-AF89-6A1DBAA3C94F}">
  <dimension ref="A1:T76"/>
  <sheetViews>
    <sheetView topLeftCell="A7" workbookViewId="0">
      <selection activeCell="I55" sqref="I55"/>
    </sheetView>
  </sheetViews>
  <sheetFormatPr defaultRowHeight="12.75"/>
  <cols>
    <col min="1" max="1" width="44.5" customWidth="1"/>
    <col min="2" max="2" width="24.5" customWidth="1"/>
    <col min="3" max="3" width="22.1640625" customWidth="1"/>
    <col min="4" max="4" width="24.5" customWidth="1"/>
    <col min="5" max="5" width="22.1640625" customWidth="1"/>
    <col min="6" max="6" width="26.6640625" customWidth="1"/>
    <col min="7" max="7" width="22.1640625" customWidth="1"/>
    <col min="8" max="8" width="17.83203125" customWidth="1"/>
    <col min="9" max="9" width="20" customWidth="1"/>
    <col min="10" max="10" width="4.5" customWidth="1"/>
    <col min="11" max="11" width="31.1640625" customWidth="1"/>
    <col min="12" max="14" width="20" customWidth="1"/>
    <col min="15" max="15" width="17.83203125" customWidth="1"/>
    <col min="16" max="20" width="0" hidden="1" customWidth="1"/>
  </cols>
  <sheetData>
    <row r="1" spans="1:20" ht="39.75" customHeight="1">
      <c r="A1" s="212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03"/>
      <c r="P1" s="203" t="s">
        <v>1</v>
      </c>
      <c r="Q1" s="203" t="s">
        <v>2</v>
      </c>
      <c r="R1" s="203" t="s">
        <v>3</v>
      </c>
      <c r="S1" s="203" t="s">
        <v>4</v>
      </c>
      <c r="T1" s="203" t="s">
        <v>5</v>
      </c>
    </row>
    <row r="2" spans="1:20">
      <c r="A2" s="214" t="s">
        <v>6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03"/>
      <c r="P2" s="203" t="s">
        <v>7</v>
      </c>
      <c r="Q2" s="7">
        <f>C6</f>
        <v>95097.810000000012</v>
      </c>
      <c r="R2" s="7">
        <f>D6</f>
        <v>87588.14</v>
      </c>
      <c r="S2" s="203" t="s">
        <v>8</v>
      </c>
      <c r="T2" s="7" t="e">
        <f>N13</f>
        <v>#REF!</v>
      </c>
    </row>
    <row r="3" spans="1:20">
      <c r="A3" s="203"/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 t="s">
        <v>9</v>
      </c>
      <c r="Q3" s="7">
        <f>C7</f>
        <v>20972.27</v>
      </c>
      <c r="R3" s="7">
        <f>D7</f>
        <v>32688.760000000002</v>
      </c>
      <c r="S3" s="203" t="s">
        <v>10</v>
      </c>
      <c r="T3" s="7" t="e">
        <f>N14</f>
        <v>#REF!</v>
      </c>
    </row>
    <row r="4" spans="1:20" ht="15.75">
      <c r="A4" s="215" t="s">
        <v>11</v>
      </c>
      <c r="B4" s="213"/>
      <c r="C4" s="213"/>
      <c r="D4" s="213"/>
      <c r="E4" s="213"/>
      <c r="F4" s="213"/>
      <c r="G4" s="213"/>
      <c r="H4" s="213"/>
      <c r="I4" s="203"/>
      <c r="J4" s="203"/>
      <c r="K4" s="221" t="s">
        <v>12</v>
      </c>
      <c r="L4" s="213"/>
      <c r="M4" s="213"/>
      <c r="N4" s="213"/>
      <c r="O4" s="213"/>
      <c r="P4" s="203" t="s">
        <v>13</v>
      </c>
      <c r="Q4" s="7">
        <f>C8</f>
        <v>106005.86</v>
      </c>
      <c r="R4" s="7">
        <f>D8</f>
        <v>86875.34</v>
      </c>
      <c r="S4" s="203" t="s">
        <v>14</v>
      </c>
      <c r="T4" s="7" t="e">
        <f>N15</f>
        <v>#REF!</v>
      </c>
    </row>
    <row r="5" spans="1:20">
      <c r="A5" s="64" t="s">
        <v>1</v>
      </c>
      <c r="B5" s="64" t="s">
        <v>15</v>
      </c>
      <c r="C5" s="64" t="s">
        <v>2</v>
      </c>
      <c r="D5" s="64" t="s">
        <v>3</v>
      </c>
      <c r="E5" s="64" t="s">
        <v>16</v>
      </c>
      <c r="F5" s="64" t="s">
        <v>17</v>
      </c>
      <c r="G5" s="64" t="s">
        <v>18</v>
      </c>
      <c r="H5" s="64" t="s">
        <v>19</v>
      </c>
      <c r="I5" s="203"/>
      <c r="J5" s="203"/>
      <c r="K5" s="222" t="s">
        <v>20</v>
      </c>
      <c r="L5" s="213"/>
      <c r="M5" s="213"/>
      <c r="N5" s="213"/>
      <c r="O5" s="213"/>
      <c r="P5" s="203" t="s">
        <v>1</v>
      </c>
      <c r="Q5" s="7" t="s">
        <v>2</v>
      </c>
      <c r="R5" s="7" t="s">
        <v>3</v>
      </c>
      <c r="S5" s="203" t="s">
        <v>21</v>
      </c>
      <c r="T5" s="7" t="e">
        <f>N16</f>
        <v>#REF!</v>
      </c>
    </row>
    <row r="6" spans="1:20">
      <c r="A6" s="204" t="s">
        <v>22</v>
      </c>
      <c r="B6" s="66">
        <f>'janeiro 26'!B5</f>
        <v>5021.1899999999996</v>
      </c>
      <c r="C6" s="66">
        <f>'Consolidado Jan-Mai'!B42</f>
        <v>95097.810000000012</v>
      </c>
      <c r="D6" s="66">
        <f>'Consolidado Jan-Mai'!B31</f>
        <v>87588.14</v>
      </c>
      <c r="E6" s="66">
        <f>C6-D6</f>
        <v>7509.6700000000128</v>
      </c>
      <c r="F6" s="66">
        <f>'janeiro 26'!B8</f>
        <v>13241.28</v>
      </c>
      <c r="G6" s="66">
        <f>0</f>
        <v>0</v>
      </c>
      <c r="H6" s="204"/>
      <c r="I6" s="203"/>
      <c r="J6" s="203"/>
      <c r="K6" s="207" t="s">
        <v>23</v>
      </c>
      <c r="L6" s="7" t="e">
        <f>#REF!</f>
        <v>#REF!</v>
      </c>
      <c r="M6" s="203"/>
      <c r="N6" s="207" t="s">
        <v>24</v>
      </c>
      <c r="O6" s="7" t="e">
        <f>#REF!</f>
        <v>#REF!</v>
      </c>
      <c r="P6" s="203" t="s">
        <v>7</v>
      </c>
      <c r="Q6" s="7">
        <f>C6</f>
        <v>95097.810000000012</v>
      </c>
      <c r="R6" s="7">
        <f>D6</f>
        <v>87588.14</v>
      </c>
      <c r="S6" s="203"/>
      <c r="T6" s="203"/>
    </row>
    <row r="7" spans="1:20">
      <c r="A7" s="204" t="s">
        <v>25</v>
      </c>
      <c r="B7" s="66">
        <f>'fevereiro 26'!B5</f>
        <v>13241.28</v>
      </c>
      <c r="C7" s="66">
        <f>'Consolidado Jan-Mai'!C42</f>
        <v>20972.27</v>
      </c>
      <c r="D7" s="66">
        <f>'Consolidado Jan-Mai'!C31</f>
        <v>32688.760000000002</v>
      </c>
      <c r="E7" s="66">
        <f>C7-D7</f>
        <v>-11716.490000000002</v>
      </c>
      <c r="F7" s="66">
        <f>'fevereiro 26'!B8</f>
        <v>1525.05</v>
      </c>
      <c r="G7" s="66">
        <f>0</f>
        <v>0</v>
      </c>
      <c r="H7" s="67">
        <f>IFERROR((D7-D6)/D6,0)</f>
        <v>-0.62679011108124916</v>
      </c>
      <c r="I7" s="203"/>
      <c r="J7" s="203"/>
      <c r="K7" s="207" t="s">
        <v>26</v>
      </c>
      <c r="L7" s="7" t="e">
        <f>#REF!</f>
        <v>#REF!</v>
      </c>
      <c r="M7" s="203"/>
      <c r="N7" s="207" t="s">
        <v>27</v>
      </c>
      <c r="O7" s="7" t="e">
        <f>#REF!</f>
        <v>#REF!</v>
      </c>
      <c r="P7" s="203" t="s">
        <v>9</v>
      </c>
      <c r="Q7" s="7">
        <f>C7</f>
        <v>20972.27</v>
      </c>
      <c r="R7" s="7">
        <f>D7</f>
        <v>32688.760000000002</v>
      </c>
      <c r="S7" s="203"/>
      <c r="T7" s="203"/>
    </row>
    <row r="8" spans="1:20">
      <c r="A8" s="204" t="s">
        <v>28</v>
      </c>
      <c r="B8" s="66">
        <f>'março 26'!B5</f>
        <v>1525.05</v>
      </c>
      <c r="C8" s="66">
        <f>'Consolidado Jan-Mai'!D42</f>
        <v>106005.86</v>
      </c>
      <c r="D8" s="66">
        <f>'Consolidado Jan-Mai'!D31</f>
        <v>86875.34</v>
      </c>
      <c r="E8" s="66">
        <f>C8-D8</f>
        <v>19130.520000000004</v>
      </c>
      <c r="F8" s="66">
        <f>'março 26'!B8</f>
        <v>20656.2</v>
      </c>
      <c r="G8" s="66">
        <f>'março 26'!H8</f>
        <v>42620</v>
      </c>
      <c r="H8" s="67">
        <f>IFERROR((D8-D7)/D7,0)</f>
        <v>1.6576517432903539</v>
      </c>
      <c r="I8" s="203"/>
      <c r="J8" s="203"/>
      <c r="K8" s="207" t="s">
        <v>29</v>
      </c>
      <c r="L8" s="7" t="e">
        <f>#REF!</f>
        <v>#REF!</v>
      </c>
      <c r="M8" s="203"/>
      <c r="N8" s="207" t="s">
        <v>30</v>
      </c>
      <c r="O8" s="8" t="e">
        <f>#REF!</f>
        <v>#REF!</v>
      </c>
      <c r="P8" s="203" t="s">
        <v>13</v>
      </c>
      <c r="Q8" s="7">
        <f>C8</f>
        <v>106005.86</v>
      </c>
      <c r="R8" s="7">
        <f>D8</f>
        <v>86875.34</v>
      </c>
      <c r="S8" s="203"/>
      <c r="T8" s="203"/>
    </row>
    <row r="9" spans="1:20">
      <c r="A9" s="204" t="s">
        <v>31</v>
      </c>
      <c r="B9" s="66">
        <f>'abril 26'!B5</f>
        <v>20656.2</v>
      </c>
      <c r="C9" s="66">
        <f>'Consolidado Jan-Mai'!E42</f>
        <v>37961.449999999997</v>
      </c>
      <c r="D9" s="66">
        <f>'Consolidado Jan-Mai'!E31</f>
        <v>32607.71</v>
      </c>
      <c r="E9" s="66">
        <f>C9-D9</f>
        <v>5353.739999999998</v>
      </c>
      <c r="F9" s="66">
        <f>'abril 26'!B8</f>
        <v>26011.360000000001</v>
      </c>
      <c r="G9" s="66">
        <f>'abril 26'!H13</f>
        <v>1000</v>
      </c>
      <c r="H9" s="67">
        <f>IFERROR((D9-D8)/D8,0)</f>
        <v>-0.62466092219034763</v>
      </c>
      <c r="I9" s="203"/>
      <c r="J9" s="203"/>
      <c r="K9" s="207" t="s">
        <v>32</v>
      </c>
      <c r="L9" s="7" t="e">
        <f>#REF!</f>
        <v>#REF!</v>
      </c>
      <c r="M9" s="203"/>
      <c r="N9" s="203"/>
      <c r="O9" s="203"/>
      <c r="P9" s="203" t="s">
        <v>33</v>
      </c>
      <c r="Q9" s="7">
        <f>C9</f>
        <v>37961.449999999997</v>
      </c>
      <c r="R9" s="7">
        <f>D9</f>
        <v>32607.71</v>
      </c>
      <c r="S9" s="203"/>
      <c r="T9" s="203"/>
    </row>
    <row r="10" spans="1:20">
      <c r="A10" s="204" t="s">
        <v>34</v>
      </c>
      <c r="B10" s="66">
        <f>'maio 26'!B5</f>
        <v>26011.360000000001</v>
      </c>
      <c r="C10" s="66">
        <f>'Consolidado Jan-Mai'!F42</f>
        <v>46299.59</v>
      </c>
      <c r="D10" s="66">
        <f>'Consolidado Jan-Mai'!F31</f>
        <v>50830.84</v>
      </c>
      <c r="E10" s="66">
        <f>C10-D10</f>
        <v>-4531.25</v>
      </c>
      <c r="F10" s="66">
        <f>'maio 26'!B8</f>
        <v>21481.279999999999</v>
      </c>
      <c r="G10" s="66">
        <f>'maio 26'!H6</f>
        <v>17000</v>
      </c>
      <c r="H10" s="67">
        <f>IFERROR((D10-D9)/D9,0)</f>
        <v>0.55885954579453745</v>
      </c>
      <c r="I10" s="203"/>
      <c r="J10" s="203"/>
      <c r="K10" s="203"/>
      <c r="L10" s="203"/>
      <c r="M10" s="203"/>
      <c r="N10" s="203"/>
      <c r="O10" s="203"/>
      <c r="P10" s="203" t="s">
        <v>35</v>
      </c>
      <c r="Q10" s="7">
        <f>C10</f>
        <v>46299.59</v>
      </c>
      <c r="R10" s="7">
        <f>D10</f>
        <v>50830.84</v>
      </c>
      <c r="S10" s="203"/>
      <c r="T10" s="203"/>
    </row>
    <row r="11" spans="1:20">
      <c r="A11" s="68" t="s">
        <v>36</v>
      </c>
      <c r="B11" s="69">
        <f>B6</f>
        <v>5021.1899999999996</v>
      </c>
      <c r="C11" s="69">
        <f>SUM(C6:C10)</f>
        <v>306336.98</v>
      </c>
      <c r="D11" s="69">
        <f>SUM(D6:D10)</f>
        <v>290590.78999999998</v>
      </c>
      <c r="E11" s="69">
        <f>SUM(E6:E10)</f>
        <v>15746.190000000013</v>
      </c>
      <c r="F11" s="69">
        <f>F10</f>
        <v>21481.279999999999</v>
      </c>
      <c r="G11" s="69">
        <f>SUM(G6:G10)</f>
        <v>60620</v>
      </c>
      <c r="H11" s="70">
        <f>IFERROR((D10-D6)/D6,0)</f>
        <v>-0.41966069835482295</v>
      </c>
      <c r="I11" s="203"/>
      <c r="J11" s="203"/>
      <c r="K11" s="222" t="s">
        <v>37</v>
      </c>
      <c r="L11" s="213"/>
      <c r="M11" s="213"/>
      <c r="N11" s="213"/>
      <c r="O11" s="213"/>
      <c r="P11" s="203" t="s">
        <v>38</v>
      </c>
      <c r="Q11" s="7">
        <f>C18</f>
        <v>42118.14</v>
      </c>
      <c r="R11" s="203"/>
      <c r="S11" s="203"/>
      <c r="T11" s="203"/>
    </row>
    <row r="12" spans="1:20">
      <c r="A12" s="71" t="s">
        <v>39</v>
      </c>
      <c r="B12" s="72"/>
      <c r="C12" s="72">
        <f>AVERAGE(C6:C10)</f>
        <v>61267.395999999993</v>
      </c>
      <c r="D12" s="72">
        <f>AVERAGE(D6:D10)</f>
        <v>58118.157999999996</v>
      </c>
      <c r="E12" s="72">
        <f>AVERAGE(E6:E10)</f>
        <v>3149.2380000000026</v>
      </c>
      <c r="F12" s="72"/>
      <c r="G12" s="72">
        <f>AVERAGE(G6:G10)</f>
        <v>12124</v>
      </c>
      <c r="H12" s="71"/>
      <c r="I12" s="203"/>
      <c r="J12" s="203"/>
      <c r="K12" s="78" t="s">
        <v>4</v>
      </c>
      <c r="L12" s="78" t="s">
        <v>40</v>
      </c>
      <c r="M12" s="78" t="s">
        <v>41</v>
      </c>
      <c r="N12" s="78" t="s">
        <v>42</v>
      </c>
      <c r="O12" s="78" t="s">
        <v>43</v>
      </c>
      <c r="P12" s="203" t="s">
        <v>44</v>
      </c>
      <c r="Q12" s="7">
        <f>C19</f>
        <v>36066.69</v>
      </c>
      <c r="R12" s="203"/>
      <c r="S12" s="203"/>
      <c r="T12" s="203"/>
    </row>
    <row r="13" spans="1:20">
      <c r="A13" s="203"/>
      <c r="B13" s="203"/>
      <c r="C13" s="203"/>
      <c r="D13" s="203"/>
      <c r="E13" s="203"/>
      <c r="F13" s="203"/>
      <c r="G13" s="203"/>
      <c r="H13" s="203"/>
      <c r="I13" s="203"/>
      <c r="J13" s="203"/>
      <c r="K13" s="204" t="s">
        <v>8</v>
      </c>
      <c r="L13" s="204" t="e">
        <f>#REF!</f>
        <v>#REF!</v>
      </c>
      <c r="M13" s="66" t="e">
        <f>#REF!</f>
        <v>#REF!</v>
      </c>
      <c r="N13" s="66" t="e">
        <f>#REF!</f>
        <v>#REF!</v>
      </c>
      <c r="O13" s="67" t="e">
        <f>N13/M13</f>
        <v>#REF!</v>
      </c>
      <c r="P13" s="203" t="s">
        <v>45</v>
      </c>
      <c r="Q13" s="7">
        <f>C20</f>
        <v>32019.47</v>
      </c>
      <c r="R13" s="203"/>
      <c r="S13" s="203"/>
      <c r="T13" s="203"/>
    </row>
    <row r="14" spans="1:20" ht="15.75">
      <c r="A14" s="216" t="s">
        <v>46</v>
      </c>
      <c r="B14" s="213"/>
      <c r="C14" s="213"/>
      <c r="D14" s="213"/>
      <c r="E14" s="203"/>
      <c r="F14" s="217" t="s">
        <v>47</v>
      </c>
      <c r="G14" s="213"/>
      <c r="H14" s="213"/>
      <c r="I14" s="213"/>
      <c r="J14" s="203"/>
      <c r="K14" s="204" t="s">
        <v>48</v>
      </c>
      <c r="L14" s="204" t="e">
        <f>#REF!</f>
        <v>#REF!</v>
      </c>
      <c r="M14" s="66" t="e">
        <f>#REF!</f>
        <v>#REF!</v>
      </c>
      <c r="N14" s="66" t="e">
        <f>#REF!</f>
        <v>#REF!</v>
      </c>
      <c r="O14" s="67" t="e">
        <f>N14/M14</f>
        <v>#REF!</v>
      </c>
      <c r="P14" s="203"/>
      <c r="Q14" s="203"/>
      <c r="R14" s="203"/>
      <c r="S14" s="203"/>
      <c r="T14" s="203"/>
    </row>
    <row r="15" spans="1:20">
      <c r="A15" s="73" t="s">
        <v>49</v>
      </c>
      <c r="B15" s="73" t="s">
        <v>50</v>
      </c>
      <c r="C15" s="73" t="s">
        <v>51</v>
      </c>
      <c r="D15" s="73" t="s">
        <v>52</v>
      </c>
      <c r="E15" s="203"/>
      <c r="F15" s="65" t="s">
        <v>53</v>
      </c>
      <c r="G15" s="65" t="s">
        <v>50</v>
      </c>
      <c r="H15" s="65" t="s">
        <v>54</v>
      </c>
      <c r="I15" s="65" t="s">
        <v>55</v>
      </c>
      <c r="J15" s="203"/>
      <c r="K15" s="204" t="s">
        <v>14</v>
      </c>
      <c r="L15" s="204" t="e">
        <f>#REF!</f>
        <v>#REF!</v>
      </c>
      <c r="M15" s="66" t="e">
        <f>#REF!</f>
        <v>#REF!</v>
      </c>
      <c r="N15" s="66" t="e">
        <f>#REF!</f>
        <v>#REF!</v>
      </c>
      <c r="O15" s="67" t="e">
        <f>N15/M15</f>
        <v>#REF!</v>
      </c>
      <c r="P15" s="203" t="s">
        <v>1</v>
      </c>
      <c r="Q15" s="203" t="s">
        <v>16</v>
      </c>
      <c r="R15" s="203"/>
      <c r="S15" s="203"/>
      <c r="T15" s="203"/>
    </row>
    <row r="16" spans="1:20">
      <c r="A16" s="204">
        <v>1</v>
      </c>
      <c r="B16" s="204" t="s">
        <v>56</v>
      </c>
      <c r="C16" s="66">
        <f>'Consolidado Jan-Mai'!G12</f>
        <v>60620</v>
      </c>
      <c r="D16" s="67">
        <f>C16/$D$11</f>
        <v>0.20860950204237377</v>
      </c>
      <c r="E16" s="203"/>
      <c r="F16" s="223"/>
      <c r="G16" s="204" t="s">
        <v>45</v>
      </c>
      <c r="H16" s="66">
        <f>'Consolidado Jan-Mai'!G7</f>
        <v>32019.47</v>
      </c>
      <c r="I16" s="66">
        <f>H16/5</f>
        <v>6403.8940000000002</v>
      </c>
      <c r="J16" s="203"/>
      <c r="K16" s="204" t="s">
        <v>57</v>
      </c>
      <c r="L16" s="204" t="e">
        <f>#REF!</f>
        <v>#REF!</v>
      </c>
      <c r="M16" s="66" t="e">
        <f>#REF!</f>
        <v>#REF!</v>
      </c>
      <c r="N16" s="66" t="e">
        <f>#REF!</f>
        <v>#REF!</v>
      </c>
      <c r="O16" s="67" t="e">
        <f>N16/M16</f>
        <v>#REF!</v>
      </c>
      <c r="P16" s="203" t="s">
        <v>7</v>
      </c>
      <c r="Q16" s="7">
        <f>E6</f>
        <v>7509.6700000000128</v>
      </c>
      <c r="R16" s="203"/>
      <c r="S16" s="203"/>
      <c r="T16" s="203"/>
    </row>
    <row r="17" spans="1:17">
      <c r="A17" s="204">
        <v>2</v>
      </c>
      <c r="B17" s="204" t="s">
        <v>58</v>
      </c>
      <c r="C17" s="66">
        <f>'Consolidado Jan-Mai'!G10</f>
        <v>51464</v>
      </c>
      <c r="D17" s="67">
        <f>C17/$D$11</f>
        <v>0.17710127702257875</v>
      </c>
      <c r="E17" s="203"/>
      <c r="F17" s="219"/>
      <c r="G17" s="204" t="s">
        <v>44</v>
      </c>
      <c r="H17" s="66">
        <f>'Consolidado Jan-Mai'!G8</f>
        <v>36066.69</v>
      </c>
      <c r="I17" s="66">
        <f>H17/5</f>
        <v>7213.3380000000006</v>
      </c>
      <c r="J17" s="203"/>
      <c r="K17" s="68" t="s">
        <v>36</v>
      </c>
      <c r="L17" s="68" t="e">
        <f>#REF!</f>
        <v>#REF!</v>
      </c>
      <c r="M17" s="69" t="e">
        <f>#REF!</f>
        <v>#REF!</v>
      </c>
      <c r="N17" s="69" t="e">
        <f>#REF!</f>
        <v>#REF!</v>
      </c>
      <c r="O17" s="70" t="e">
        <f>N17/M17</f>
        <v>#REF!</v>
      </c>
      <c r="P17" s="203" t="s">
        <v>9</v>
      </c>
      <c r="Q17" s="7">
        <f>E7</f>
        <v>-11716.490000000002</v>
      </c>
    </row>
    <row r="18" spans="1:17">
      <c r="A18" s="204">
        <v>3</v>
      </c>
      <c r="B18" s="204" t="s">
        <v>38</v>
      </c>
      <c r="C18" s="66">
        <f>'Consolidado Jan-Mai'!G6</f>
        <v>42118.14</v>
      </c>
      <c r="D18" s="67">
        <f>C18/$D$11</f>
        <v>0.14493969337431514</v>
      </c>
      <c r="E18" s="203"/>
      <c r="F18" s="219"/>
      <c r="G18" s="204" t="s">
        <v>59</v>
      </c>
      <c r="H18" s="66">
        <f>'Consolidado Jan-Mai'!G11</f>
        <v>7538.34</v>
      </c>
      <c r="I18" s="66">
        <f>H18/5</f>
        <v>1507.6680000000001</v>
      </c>
      <c r="J18" s="203"/>
      <c r="K18" s="203"/>
      <c r="L18" s="203"/>
      <c r="M18" s="203"/>
      <c r="N18" s="203"/>
      <c r="O18" s="203"/>
      <c r="P18" s="203" t="s">
        <v>13</v>
      </c>
      <c r="Q18" s="7">
        <f>E8</f>
        <v>19130.520000000004</v>
      </c>
    </row>
    <row r="19" spans="1:17">
      <c r="A19" s="204">
        <v>4</v>
      </c>
      <c r="B19" s="204" t="s">
        <v>44</v>
      </c>
      <c r="C19" s="66">
        <f>'Consolidado Jan-Mai'!G8</f>
        <v>36066.69</v>
      </c>
      <c r="D19" s="67">
        <f>C19/$D$11</f>
        <v>0.12411504851891557</v>
      </c>
      <c r="E19" s="203"/>
      <c r="F19" s="219"/>
      <c r="G19" s="204" t="s">
        <v>60</v>
      </c>
      <c r="H19" s="66">
        <f>'Consolidado Jan-Mai'!G22</f>
        <v>5231.83</v>
      </c>
      <c r="I19" s="66">
        <f>H19/5</f>
        <v>1046.366</v>
      </c>
      <c r="J19" s="203"/>
      <c r="K19" s="222" t="s">
        <v>61</v>
      </c>
      <c r="L19" s="213"/>
      <c r="M19" s="213"/>
      <c r="N19" s="213"/>
      <c r="O19" s="203"/>
      <c r="P19" s="203" t="s">
        <v>33</v>
      </c>
      <c r="Q19" s="7">
        <f>E9</f>
        <v>5353.739999999998</v>
      </c>
    </row>
    <row r="20" spans="1:17">
      <c r="A20" s="204">
        <v>5</v>
      </c>
      <c r="B20" s="204" t="s">
        <v>45</v>
      </c>
      <c r="C20" s="66">
        <f>'Consolidado Jan-Mai'!G7</f>
        <v>32019.47</v>
      </c>
      <c r="D20" s="67">
        <f>C20/$D$11</f>
        <v>0.11018749080106773</v>
      </c>
      <c r="E20" s="203"/>
      <c r="F20" s="224"/>
      <c r="G20" s="206" t="s">
        <v>62</v>
      </c>
      <c r="H20" s="74">
        <f>SUM(H16:H19)</f>
        <v>80856.33</v>
      </c>
      <c r="I20" s="74">
        <f>SUM(I16:I19)</f>
        <v>16171.266</v>
      </c>
      <c r="J20" s="203"/>
      <c r="K20" s="78" t="s">
        <v>53</v>
      </c>
      <c r="L20" s="78" t="s">
        <v>40</v>
      </c>
      <c r="M20" s="78" t="s">
        <v>41</v>
      </c>
      <c r="N20" s="78" t="s">
        <v>42</v>
      </c>
      <c r="O20" s="203"/>
      <c r="P20" s="203" t="s">
        <v>35</v>
      </c>
      <c r="Q20" s="7">
        <f>E10</f>
        <v>-4531.25</v>
      </c>
    </row>
    <row r="21" spans="1:17">
      <c r="A21" s="204">
        <v>6</v>
      </c>
      <c r="B21" s="204" t="s">
        <v>63</v>
      </c>
      <c r="C21" s="66">
        <f>'Consolidado Jan-Mai'!G9</f>
        <v>25840.769999999997</v>
      </c>
      <c r="D21" s="67">
        <f>C21/$D$11</f>
        <v>8.8924944937174358E-2</v>
      </c>
      <c r="E21" s="203"/>
      <c r="F21" s="218"/>
      <c r="G21" s="204" t="s">
        <v>38</v>
      </c>
      <c r="H21" s="66">
        <f>'Consolidado Jan-Mai'!G6</f>
        <v>42118.14</v>
      </c>
      <c r="I21" s="66">
        <f>H21/5</f>
        <v>8423.6280000000006</v>
      </c>
      <c r="J21" s="203"/>
      <c r="K21" s="204" t="s">
        <v>64</v>
      </c>
      <c r="L21" s="204" t="e">
        <f>#REF!</f>
        <v>#REF!</v>
      </c>
      <c r="M21" s="66" t="e">
        <f>#REF!</f>
        <v>#REF!</v>
      </c>
      <c r="N21" s="66" t="e">
        <f>#REF!</f>
        <v>#REF!</v>
      </c>
      <c r="O21" s="203"/>
      <c r="P21" s="203"/>
      <c r="Q21" s="203"/>
    </row>
    <row r="22" spans="1:17">
      <c r="A22" s="204">
        <v>7</v>
      </c>
      <c r="B22" s="204" t="s">
        <v>59</v>
      </c>
      <c r="C22" s="66">
        <f>'Consolidado Jan-Mai'!G11</f>
        <v>7538.34</v>
      </c>
      <c r="D22" s="67">
        <f>C22/$D$11</f>
        <v>2.59414278064353E-2</v>
      </c>
      <c r="E22" s="203"/>
      <c r="F22" s="219"/>
      <c r="G22" s="204" t="s">
        <v>65</v>
      </c>
      <c r="H22" s="66">
        <f>'Consolidado Jan-Mai'!G12</f>
        <v>60620</v>
      </c>
      <c r="I22" s="66">
        <f>H22/5</f>
        <v>12124</v>
      </c>
      <c r="J22" s="203"/>
      <c r="K22" s="204" t="s">
        <v>66</v>
      </c>
      <c r="L22" s="204" t="e">
        <f>#REF!</f>
        <v>#REF!</v>
      </c>
      <c r="M22" s="66" t="e">
        <f>#REF!</f>
        <v>#REF!</v>
      </c>
      <c r="N22" s="66" t="e">
        <f>#REF!</f>
        <v>#REF!</v>
      </c>
      <c r="O22" s="203"/>
      <c r="P22" s="203"/>
      <c r="Q22" s="203"/>
    </row>
    <row r="23" spans="1:17">
      <c r="A23" s="204">
        <v>8</v>
      </c>
      <c r="B23" s="204" t="s">
        <v>67</v>
      </c>
      <c r="C23" s="66">
        <f>'Consolidado Jan-Mai'!G13+'Consolidado Jan-Mai'!G14</f>
        <v>8170</v>
      </c>
      <c r="D23" s="67">
        <f>C23/$D$11</f>
        <v>2.8115137441210716E-2</v>
      </c>
      <c r="E23" s="203"/>
      <c r="F23" s="219"/>
      <c r="G23" s="204" t="s">
        <v>68</v>
      </c>
      <c r="H23" s="66">
        <f>'Consolidado Jan-Mai'!G13</f>
        <v>4170</v>
      </c>
      <c r="I23" s="66">
        <f>H23/5</f>
        <v>834</v>
      </c>
      <c r="J23" s="203"/>
      <c r="K23" s="204" t="s">
        <v>69</v>
      </c>
      <c r="L23" s="204" t="e">
        <f>#REF!</f>
        <v>#REF!</v>
      </c>
      <c r="M23" s="66" t="e">
        <f>#REF!</f>
        <v>#REF!</v>
      </c>
      <c r="N23" s="66" t="e">
        <f>#REF!</f>
        <v>#REF!</v>
      </c>
      <c r="O23" s="203"/>
      <c r="P23" s="203"/>
      <c r="Q23" s="203"/>
    </row>
    <row r="24" spans="1:17">
      <c r="A24" s="204">
        <v>9</v>
      </c>
      <c r="B24" s="204" t="s">
        <v>65</v>
      </c>
      <c r="C24" s="66">
        <f>'Consolidado Jan-Mai'!G15</f>
        <v>6993.3100000000013</v>
      </c>
      <c r="D24" s="67">
        <f>C24/$D$11</f>
        <v>2.4065834983964914E-2</v>
      </c>
      <c r="E24" s="203"/>
      <c r="F24" s="219"/>
      <c r="G24" s="204" t="s">
        <v>70</v>
      </c>
      <c r="H24" s="66">
        <f>'Consolidado Jan-Mai'!G16+'Consolidado Jan-Mai'!G26</f>
        <v>2296</v>
      </c>
      <c r="I24" s="66">
        <f>H24/5</f>
        <v>459.2</v>
      </c>
      <c r="J24" s="203"/>
      <c r="K24" s="204" t="s">
        <v>71</v>
      </c>
      <c r="L24" s="204" t="e">
        <f>#REF!</f>
        <v>#REF!</v>
      </c>
      <c r="M24" s="66" t="e">
        <f>#REF!</f>
        <v>#REF!</v>
      </c>
      <c r="N24" s="66" t="e">
        <f>#REF!</f>
        <v>#REF!</v>
      </c>
      <c r="O24" s="203"/>
      <c r="P24" s="203"/>
      <c r="Q24" s="203"/>
    </row>
    <row r="25" spans="1:17">
      <c r="A25" s="204">
        <v>10</v>
      </c>
      <c r="B25" s="204" t="s">
        <v>72</v>
      </c>
      <c r="C25" s="66">
        <f>'Consolidado Jan-Mai'!G20</f>
        <v>2298.1799999999998</v>
      </c>
      <c r="D25" s="67">
        <f>C25/$D$11</f>
        <v>7.9086470703355737E-3</v>
      </c>
      <c r="E25" s="203"/>
      <c r="F25" s="220"/>
      <c r="G25" s="205" t="s">
        <v>73</v>
      </c>
      <c r="H25" s="75">
        <f>SUM(H21:H24)</f>
        <v>109204.14</v>
      </c>
      <c r="I25" s="75">
        <f>SUM(I21:I24)</f>
        <v>21840.828000000001</v>
      </c>
      <c r="J25" s="203"/>
      <c r="K25" s="204" t="s">
        <v>74</v>
      </c>
      <c r="L25" s="204" t="e">
        <f>#REF!</f>
        <v>#REF!</v>
      </c>
      <c r="M25" s="66" t="e">
        <f>#REF!</f>
        <v>#REF!</v>
      </c>
      <c r="N25" s="66" t="e">
        <f>#REF!</f>
        <v>#REF!</v>
      </c>
      <c r="O25" s="203"/>
      <c r="P25" s="203"/>
      <c r="Q25" s="203"/>
    </row>
    <row r="26" spans="1:17">
      <c r="A26" s="204">
        <v>11</v>
      </c>
      <c r="B26" s="204" t="s">
        <v>68</v>
      </c>
      <c r="C26" s="66">
        <f>'Consolidado Jan-Mai'!G17</f>
        <v>1019.13</v>
      </c>
      <c r="D26" s="67">
        <f>C26/$D$11</f>
        <v>3.5070966977308539E-3</v>
      </c>
      <c r="E26" s="203"/>
      <c r="F26" s="76"/>
      <c r="G26" s="76" t="s">
        <v>75</v>
      </c>
      <c r="H26" s="77">
        <f>H20+H25</f>
        <v>190060.47</v>
      </c>
      <c r="I26" s="77">
        <f>I20+I25</f>
        <v>38012.093999999997</v>
      </c>
      <c r="J26" s="203"/>
      <c r="K26" s="203"/>
      <c r="L26" s="203"/>
      <c r="M26" s="203"/>
      <c r="N26" s="203"/>
      <c r="O26" s="203"/>
      <c r="P26" s="203"/>
      <c r="Q26" s="203"/>
    </row>
    <row r="27" spans="1:17" ht="14.25">
      <c r="A27" s="204">
        <v>12</v>
      </c>
      <c r="B27" s="204" t="s">
        <v>76</v>
      </c>
      <c r="C27" s="66">
        <f>'Consolidado Jan-Mai'!G19</f>
        <v>1855.95</v>
      </c>
      <c r="D27" s="67">
        <f>C27/$D$11</f>
        <v>6.3868163199528802E-3</v>
      </c>
      <c r="E27" s="203"/>
      <c r="F27" s="203"/>
      <c r="G27" s="203"/>
      <c r="H27" s="203"/>
      <c r="I27" s="203"/>
      <c r="J27" s="203"/>
      <c r="K27" s="228" t="s">
        <v>77</v>
      </c>
      <c r="L27" s="213"/>
      <c r="M27" s="213"/>
      <c r="N27" s="213"/>
      <c r="O27" s="203"/>
      <c r="P27" s="203"/>
      <c r="Q27" s="203"/>
    </row>
    <row r="28" spans="1:17" ht="15.75">
      <c r="A28" s="204">
        <v>13</v>
      </c>
      <c r="B28" s="204" t="s">
        <v>78</v>
      </c>
      <c r="C28" s="66">
        <f>'Consolidado Jan-Mai'!G16</f>
        <v>1717.87</v>
      </c>
      <c r="D28" s="67">
        <f>C28/$D$11</f>
        <v>5.9116464083393697E-3</v>
      </c>
      <c r="E28" s="203"/>
      <c r="F28" s="232" t="s">
        <v>79</v>
      </c>
      <c r="G28" s="213"/>
      <c r="H28" s="213"/>
      <c r="I28" s="213"/>
      <c r="J28" s="203"/>
      <c r="K28" s="78" t="s">
        <v>80</v>
      </c>
      <c r="L28" s="78" t="s">
        <v>40</v>
      </c>
      <c r="M28" s="78" t="s">
        <v>41</v>
      </c>
      <c r="N28" s="78" t="s">
        <v>42</v>
      </c>
      <c r="O28" s="203"/>
      <c r="P28" s="203"/>
      <c r="Q28" s="203"/>
    </row>
    <row r="29" spans="1:17">
      <c r="A29" s="204">
        <v>14</v>
      </c>
      <c r="B29" s="204" t="s">
        <v>81</v>
      </c>
      <c r="C29" s="66">
        <f>'Consolidado Jan-Mai'!G18</f>
        <v>1616.4899999999998</v>
      </c>
      <c r="D29" s="67">
        <f>C29/$D$11</f>
        <v>5.5627709329672832E-3</v>
      </c>
      <c r="E29" s="203"/>
      <c r="F29" s="80" t="s">
        <v>82</v>
      </c>
      <c r="G29" s="81">
        <f>'Escola crianças'!D23</f>
        <v>43242.87</v>
      </c>
      <c r="H29" s="82"/>
      <c r="I29" s="83"/>
      <c r="J29" s="203"/>
      <c r="K29" s="204" t="s">
        <v>83</v>
      </c>
      <c r="L29" s="204" t="e">
        <f>#REF!</f>
        <v>#REF!</v>
      </c>
      <c r="M29" s="66" t="e">
        <f>#REF!</f>
        <v>#REF!</v>
      </c>
      <c r="N29" s="66" t="e">
        <f>#REF!</f>
        <v>#REF!</v>
      </c>
      <c r="O29" s="203"/>
      <c r="P29" s="203"/>
      <c r="Q29" s="203"/>
    </row>
    <row r="30" spans="1:17">
      <c r="A30" s="204">
        <v>15</v>
      </c>
      <c r="B30" s="204" t="s">
        <v>74</v>
      </c>
      <c r="C30" s="66">
        <f>D11-SUM(C16:C29)</f>
        <v>11252.449999999953</v>
      </c>
      <c r="D30" s="67">
        <f>C30/$D$11</f>
        <v>3.8722665642637724E-2</v>
      </c>
      <c r="E30" s="203"/>
      <c r="F30" s="80" t="s">
        <v>84</v>
      </c>
      <c r="G30" s="82" t="e">
        <f>F29/12</f>
        <v>#VALUE!</v>
      </c>
      <c r="H30" s="82"/>
      <c r="I30" s="83"/>
      <c r="J30" s="203"/>
      <c r="K30" s="204" t="s">
        <v>85</v>
      </c>
      <c r="L30" s="204" t="e">
        <f>#REF!</f>
        <v>#REF!</v>
      </c>
      <c r="M30" s="66" t="e">
        <f>#REF!</f>
        <v>#REF!</v>
      </c>
      <c r="N30" s="66" t="e">
        <f>#REF!</f>
        <v>#REF!</v>
      </c>
      <c r="O30" s="203"/>
      <c r="P30" s="203" t="s">
        <v>1</v>
      </c>
      <c r="Q30" s="203" t="s">
        <v>86</v>
      </c>
    </row>
    <row r="31" spans="1:17">
      <c r="A31" s="68"/>
      <c r="B31" s="68" t="s">
        <v>87</v>
      </c>
      <c r="C31" s="69">
        <f>D11</f>
        <v>290590.78999999998</v>
      </c>
      <c r="D31" s="70">
        <f>SUM(D16:D30)</f>
        <v>0.99999999999999989</v>
      </c>
      <c r="E31" s="203"/>
      <c r="F31" s="80" t="s">
        <v>88</v>
      </c>
      <c r="G31" s="84">
        <f>'Consolidado Jan-Mai'!G8</f>
        <v>36066.69</v>
      </c>
      <c r="H31" s="82"/>
      <c r="I31" s="83"/>
      <c r="J31" s="203"/>
      <c r="K31" s="204" t="s">
        <v>89</v>
      </c>
      <c r="L31" s="204" t="e">
        <f>#REF!</f>
        <v>#REF!</v>
      </c>
      <c r="M31" s="66" t="e">
        <f>#REF!</f>
        <v>#REF!</v>
      </c>
      <c r="N31" s="66" t="e">
        <f>#REF!</f>
        <v>#REF!</v>
      </c>
      <c r="O31" s="203"/>
      <c r="P31" s="203" t="s">
        <v>7</v>
      </c>
      <c r="Q31" s="7">
        <f>E6</f>
        <v>7509.6700000000128</v>
      </c>
    </row>
    <row r="32" spans="1:17">
      <c r="A32" s="203"/>
      <c r="B32" s="203"/>
      <c r="C32" s="203"/>
      <c r="D32" s="203"/>
      <c r="E32" s="203"/>
      <c r="F32" s="80" t="s">
        <v>90</v>
      </c>
      <c r="G32" s="82" t="e">
        <f>F31/5</f>
        <v>#VALUE!</v>
      </c>
      <c r="H32" s="82"/>
      <c r="I32" s="83"/>
      <c r="J32" s="203"/>
      <c r="K32" s="204" t="s">
        <v>91</v>
      </c>
      <c r="L32" s="204" t="e">
        <f>#REF!</f>
        <v>#REF!</v>
      </c>
      <c r="M32" s="66" t="e">
        <f>#REF!</f>
        <v>#REF!</v>
      </c>
      <c r="N32" s="66" t="e">
        <f>#REF!</f>
        <v>#REF!</v>
      </c>
      <c r="O32" s="203"/>
      <c r="P32" s="203" t="s">
        <v>9</v>
      </c>
      <c r="Q32" s="7">
        <f>E7</f>
        <v>-11716.490000000002</v>
      </c>
    </row>
    <row r="33" spans="1:17" ht="15.75">
      <c r="A33" s="231" t="s">
        <v>92</v>
      </c>
      <c r="B33" s="213"/>
      <c r="C33" s="213"/>
      <c r="D33" s="213"/>
      <c r="E33" s="203"/>
      <c r="F33" s="80" t="s">
        <v>93</v>
      </c>
      <c r="G33" s="82" t="e">
        <f>F30-F32</f>
        <v>#VALUE!</v>
      </c>
      <c r="H33" s="82"/>
      <c r="I33" s="83"/>
      <c r="J33" s="203"/>
      <c r="K33" s="204" t="s">
        <v>94</v>
      </c>
      <c r="L33" s="204" t="e">
        <f>47-L29-L30-L31-L32</f>
        <v>#REF!</v>
      </c>
      <c r="M33" s="66" t="e">
        <f>M17-M29-M30-M31-M32</f>
        <v>#REF!</v>
      </c>
      <c r="N33" s="66" t="e">
        <f>N17-N29-N30-N31-N32</f>
        <v>#REF!</v>
      </c>
      <c r="O33" s="203"/>
      <c r="P33" s="203" t="s">
        <v>13</v>
      </c>
      <c r="Q33" s="7">
        <f>E8</f>
        <v>19130.520000000004</v>
      </c>
    </row>
    <row r="34" spans="1:17">
      <c r="A34" s="79" t="s">
        <v>95</v>
      </c>
      <c r="B34" s="79" t="s">
        <v>96</v>
      </c>
      <c r="C34" s="79" t="s">
        <v>97</v>
      </c>
      <c r="D34" s="79" t="s">
        <v>98</v>
      </c>
      <c r="E34" s="203"/>
      <c r="F34" s="85" t="s">
        <v>99</v>
      </c>
      <c r="G34" s="82">
        <v>20</v>
      </c>
      <c r="H34" s="82"/>
      <c r="I34" s="83"/>
      <c r="J34" s="203"/>
      <c r="K34" s="203"/>
      <c r="L34" s="203"/>
      <c r="M34" s="203"/>
      <c r="N34" s="203"/>
      <c r="O34" s="203"/>
      <c r="P34" s="203" t="s">
        <v>33</v>
      </c>
      <c r="Q34" s="7">
        <f>E9</f>
        <v>5353.739999999998</v>
      </c>
    </row>
    <row r="35" spans="1:17">
      <c r="A35" s="204" t="s">
        <v>100</v>
      </c>
      <c r="B35" s="66">
        <f>E11</f>
        <v>15746.190000000013</v>
      </c>
      <c r="C35" s="204" t="s">
        <v>101</v>
      </c>
      <c r="D35" s="204" t="str">
        <f>IF(B35&gt;10000,"✅ Ótimo",IF(B35&gt;0,"⚠️ Positivo","❌ Negativo"))</f>
        <v>✅ Ótimo</v>
      </c>
      <c r="E35" s="203"/>
      <c r="F35" s="85" t="s">
        <v>102</v>
      </c>
      <c r="G35" s="82" t="s">
        <v>103</v>
      </c>
      <c r="H35" s="82"/>
      <c r="I35" s="83"/>
      <c r="J35" s="203"/>
      <c r="K35" s="203"/>
      <c r="L35" s="203"/>
      <c r="M35" s="203"/>
      <c r="N35" s="203"/>
      <c r="O35" s="203"/>
      <c r="P35" s="203" t="s">
        <v>35</v>
      </c>
      <c r="Q35" s="7">
        <f>E10</f>
        <v>-4531.25</v>
      </c>
    </row>
    <row r="36" spans="1:17">
      <c r="A36" s="204" t="s">
        <v>104</v>
      </c>
      <c r="B36" s="67">
        <f>IFERROR(E11/C11,0)</f>
        <v>5.1401531738022664E-2</v>
      </c>
      <c r="C36" s="204" t="s">
        <v>105</v>
      </c>
      <c r="D36" s="204" t="str">
        <f>IF(B36&gt;0.1,"✅ Ótimo",IF(B36&gt;0.05,"⚠️ Adequado","❌ Baixa"))</f>
        <v>⚠️ Adequado</v>
      </c>
      <c r="E36" s="203"/>
      <c r="F36" s="203"/>
      <c r="G36" s="203"/>
      <c r="H36" s="203"/>
      <c r="I36" s="203"/>
      <c r="J36" s="203"/>
      <c r="K36" s="203" t="s">
        <v>4</v>
      </c>
      <c r="L36" s="203" t="s">
        <v>42</v>
      </c>
      <c r="M36" s="203"/>
      <c r="N36" s="203"/>
      <c r="O36" s="203"/>
      <c r="P36" s="203"/>
      <c r="Q36" s="203"/>
    </row>
    <row r="37" spans="1:17" ht="15.75">
      <c r="A37" s="204" t="s">
        <v>106</v>
      </c>
      <c r="B37" s="67">
        <f>C12</f>
        <v>61267.395999999993</v>
      </c>
      <c r="C37" s="204" t="s">
        <v>107</v>
      </c>
      <c r="D37" s="204"/>
      <c r="E37" s="203"/>
      <c r="F37" s="226" t="s">
        <v>108</v>
      </c>
      <c r="G37" s="213"/>
      <c r="H37" s="213"/>
      <c r="I37" s="213"/>
      <c r="J37" s="203"/>
      <c r="K37" s="203" t="s">
        <v>8</v>
      </c>
      <c r="L37" s="7" t="e">
        <f>N13</f>
        <v>#REF!</v>
      </c>
      <c r="M37" s="203"/>
      <c r="N37" s="203"/>
      <c r="O37" s="203"/>
      <c r="P37" s="203"/>
      <c r="Q37" s="203"/>
    </row>
    <row r="38" spans="1:17">
      <c r="A38" s="204" t="s">
        <v>109</v>
      </c>
      <c r="B38" s="66">
        <f>D12</f>
        <v>58118.157999999996</v>
      </c>
      <c r="C38" s="204" t="s">
        <v>107</v>
      </c>
      <c r="D38" s="204"/>
      <c r="E38" s="203"/>
      <c r="F38" s="86" t="s">
        <v>50</v>
      </c>
      <c r="G38" s="86" t="s">
        <v>110</v>
      </c>
      <c r="H38" s="86" t="s">
        <v>111</v>
      </c>
      <c r="I38" s="86" t="s">
        <v>35</v>
      </c>
      <c r="J38" s="203"/>
      <c r="K38" s="203" t="s">
        <v>48</v>
      </c>
      <c r="L38" s="7" t="e">
        <f>N14</f>
        <v>#REF!</v>
      </c>
      <c r="M38" s="203"/>
      <c r="N38" s="203"/>
      <c r="O38" s="203"/>
      <c r="P38" s="203"/>
      <c r="Q38" s="203"/>
    </row>
    <row r="39" spans="1:17">
      <c r="A39" s="204" t="s">
        <v>112</v>
      </c>
      <c r="B39" s="66">
        <f>I20/D12</f>
        <v>0.27824808212263025</v>
      </c>
      <c r="C39" s="204" t="s">
        <v>113</v>
      </c>
      <c r="D39" s="204" t="str">
        <f>IF(B39&lt;0.5,"✅ Saudável",IF(B39&lt;0.7,"⚠️ Atenção","❌ Alto"))</f>
        <v>✅ Saudável</v>
      </c>
      <c r="E39" s="203"/>
      <c r="F39" s="204" t="s">
        <v>38</v>
      </c>
      <c r="G39" s="66">
        <f>'janeiro 26'!H6+'fevereiro 26'!H8</f>
        <v>19197.46</v>
      </c>
      <c r="H39" s="66">
        <f>'março 26'!H12+'abril 26'!H6</f>
        <v>15380.47</v>
      </c>
      <c r="I39" s="66">
        <f>'maio 26'!H6</f>
        <v>17000</v>
      </c>
      <c r="J39" s="203"/>
      <c r="K39" s="203" t="s">
        <v>14</v>
      </c>
      <c r="L39" s="7" t="e">
        <f>N15</f>
        <v>#REF!</v>
      </c>
      <c r="M39" s="203"/>
      <c r="N39" s="203"/>
      <c r="O39" s="203"/>
      <c r="P39" s="203"/>
      <c r="Q39" s="203"/>
    </row>
    <row r="40" spans="1:17">
      <c r="A40" s="204" t="s">
        <v>114</v>
      </c>
      <c r="B40" s="67">
        <f>G11</f>
        <v>60620</v>
      </c>
      <c r="C40" s="204" t="s">
        <v>115</v>
      </c>
      <c r="D40" s="204" t="str">
        <f>IF(G11&gt;50000,"✅ Bom","⚠️ Aumentar")</f>
        <v>✅ Bom</v>
      </c>
      <c r="E40" s="203"/>
      <c r="F40" s="204" t="s">
        <v>44</v>
      </c>
      <c r="G40" s="66">
        <f>'janeiro 26'!H9+'fevereiro 26'!H6</f>
        <v>14866.789999999999</v>
      </c>
      <c r="H40" s="66">
        <f>'março 26'!H6+'abril 26'!H8</f>
        <v>16141.55</v>
      </c>
      <c r="I40" s="66">
        <f>'maio 26'!H8</f>
        <v>7206.3</v>
      </c>
      <c r="J40" s="203"/>
      <c r="K40" s="203" t="s">
        <v>57</v>
      </c>
      <c r="L40" s="7" t="e">
        <f>N16</f>
        <v>#REF!</v>
      </c>
      <c r="M40" s="203"/>
      <c r="N40" s="203"/>
      <c r="O40" s="203"/>
      <c r="P40" s="203"/>
      <c r="Q40" s="203"/>
    </row>
    <row r="41" spans="1:17">
      <c r="A41" s="204" t="s">
        <v>116</v>
      </c>
      <c r="B41" s="66" t="e">
        <f>#REF!</f>
        <v>#REF!</v>
      </c>
      <c r="C41" s="204" t="s">
        <v>107</v>
      </c>
      <c r="D41" s="204"/>
      <c r="E41" s="203"/>
      <c r="F41" s="204" t="s">
        <v>45</v>
      </c>
      <c r="G41" s="66">
        <f>'janeiro 26'!H7+'fevereiro 26'!H7</f>
        <v>12807.81</v>
      </c>
      <c r="H41" s="66">
        <f>'março 26'!H7+'abril 26'!H7</f>
        <v>12802.91</v>
      </c>
      <c r="I41" s="66">
        <f>'maio 26'!H7</f>
        <v>7540.21</v>
      </c>
      <c r="J41" s="203"/>
      <c r="K41" s="203"/>
      <c r="L41" s="203"/>
      <c r="M41" s="203"/>
      <c r="N41" s="203"/>
      <c r="O41" s="203"/>
      <c r="P41" s="203"/>
      <c r="Q41" s="203"/>
    </row>
    <row r="42" spans="1:17">
      <c r="A42" s="204" t="s">
        <v>117</v>
      </c>
      <c r="B42" s="66" t="e">
        <f>#REF!</f>
        <v>#REF!</v>
      </c>
      <c r="C42" s="204" t="s">
        <v>118</v>
      </c>
      <c r="D42" s="204" t="e">
        <f>IF(B42&lt;5000,"✅ OK","⚠️ Verificar")</f>
        <v>#REF!</v>
      </c>
      <c r="E42" s="203"/>
      <c r="F42" s="204" t="s">
        <v>59</v>
      </c>
      <c r="G42" s="66">
        <f>'janeiro 26'!H11+'fevereiro 26'!H10</f>
        <v>3884</v>
      </c>
      <c r="H42" s="66">
        <f>'março 26'!H11+'abril 26'!H10</f>
        <v>3662.05</v>
      </c>
      <c r="I42" s="66">
        <f>'maio 26'!H10</f>
        <v>3501.63</v>
      </c>
      <c r="J42" s="203"/>
      <c r="K42" s="203"/>
      <c r="L42" s="203"/>
      <c r="M42" s="203"/>
      <c r="N42" s="203"/>
      <c r="O42" s="203"/>
      <c r="P42" s="203"/>
      <c r="Q42" s="203"/>
    </row>
    <row r="43" spans="1:17">
      <c r="A43" s="204" t="s">
        <v>119</v>
      </c>
      <c r="B43" s="66">
        <f>E11*12/5</f>
        <v>37790.856000000029</v>
      </c>
      <c r="C43" s="204" t="s">
        <v>120</v>
      </c>
      <c r="D43" s="204" t="str">
        <f>IF(B43&gt;30000,"✅ Bom","⚠️ Monitorar")</f>
        <v>✅ Bom</v>
      </c>
      <c r="E43" s="203"/>
      <c r="F43" s="204" t="s">
        <v>68</v>
      </c>
      <c r="G43" s="66">
        <f>'janeiro 26'!H18+'fevereiro 26'!H13</f>
        <v>1019.13</v>
      </c>
      <c r="H43" s="66">
        <f>'março 26'!H13+'abril 26'!H14</f>
        <v>3530.39</v>
      </c>
      <c r="I43" s="66">
        <f>'maio 26'!H14</f>
        <v>381.57</v>
      </c>
      <c r="J43" s="203"/>
      <c r="K43" s="203"/>
      <c r="L43" s="203"/>
      <c r="M43" s="203"/>
      <c r="N43" s="203"/>
      <c r="O43" s="203"/>
      <c r="P43" s="203"/>
      <c r="Q43" s="203"/>
    </row>
    <row r="44" spans="1:17">
      <c r="A44" s="203"/>
      <c r="B44" s="203"/>
      <c r="C44" s="203"/>
      <c r="D44" s="203"/>
      <c r="E44" s="203"/>
      <c r="F44" s="204" t="s">
        <v>65</v>
      </c>
      <c r="G44" s="66">
        <f>'janeiro 26'!H17+'fevereiro 26'!H11</f>
        <v>2736.9500000000003</v>
      </c>
      <c r="H44" s="66">
        <f>'março 26'!H13+'abril 26'!H12</f>
        <v>4001.38</v>
      </c>
      <c r="I44" s="66">
        <f>'maio 26'!H12</f>
        <v>2906.84</v>
      </c>
      <c r="J44" s="203"/>
      <c r="K44" s="203"/>
      <c r="L44" s="203"/>
      <c r="M44" s="203"/>
      <c r="N44" s="203"/>
      <c r="O44" s="203"/>
      <c r="P44" s="203"/>
      <c r="Q44" s="203"/>
    </row>
    <row r="45" spans="1:17" ht="15.75">
      <c r="A45" s="227" t="s">
        <v>121</v>
      </c>
      <c r="B45" s="213"/>
      <c r="C45" s="213"/>
      <c r="D45" s="213"/>
      <c r="E45" s="203"/>
      <c r="F45" s="204" t="s">
        <v>66</v>
      </c>
      <c r="G45" s="66">
        <f>'janeiro 26'!H10+'fevereiro 26'!H12</f>
        <v>4610</v>
      </c>
      <c r="H45" s="66">
        <f>'março 26'!H16+'abril 26'!H17</f>
        <v>655.47</v>
      </c>
      <c r="I45" s="66">
        <f>'maio 26'!H17</f>
        <v>180</v>
      </c>
      <c r="J45" s="203"/>
      <c r="K45" s="203"/>
      <c r="L45" s="203"/>
      <c r="M45" s="203"/>
      <c r="N45" s="203"/>
      <c r="O45" s="203"/>
      <c r="P45" s="203"/>
      <c r="Q45" s="203"/>
    </row>
    <row r="46" spans="1:17">
      <c r="A46" s="89" t="s">
        <v>122</v>
      </c>
      <c r="B46" s="90"/>
      <c r="C46" s="90"/>
      <c r="D46" s="90"/>
      <c r="E46" s="203"/>
      <c r="F46" s="87" t="s">
        <v>36</v>
      </c>
      <c r="G46" s="88">
        <f>SUM(G39:G45)</f>
        <v>59122.139999999992</v>
      </c>
      <c r="H46" s="88">
        <f>SUM(H39:H45)</f>
        <v>56174.219999999994</v>
      </c>
      <c r="I46" s="88">
        <f>SUM(I39:I45)</f>
        <v>38716.550000000003</v>
      </c>
      <c r="J46" s="203"/>
      <c r="K46" s="203"/>
      <c r="L46" s="203"/>
      <c r="M46" s="203"/>
      <c r="N46" s="203"/>
      <c r="O46" s="203"/>
      <c r="P46" s="203"/>
      <c r="Q46" s="203"/>
    </row>
    <row r="47" spans="1:17">
      <c r="A47" s="90" t="s">
        <v>123</v>
      </c>
      <c r="B47" s="90"/>
      <c r="C47" s="90"/>
      <c r="D47" s="90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</row>
    <row r="48" spans="1:17">
      <c r="A48" s="90" t="s">
        <v>124</v>
      </c>
      <c r="B48" s="90"/>
      <c r="C48" s="90"/>
      <c r="D48" s="90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</row>
    <row r="49" spans="1:15">
      <c r="A49" s="90" t="s">
        <v>125</v>
      </c>
      <c r="B49" s="90"/>
      <c r="C49" s="90"/>
      <c r="D49" s="90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</row>
    <row r="50" spans="1:15" ht="14.25">
      <c r="A50" s="90"/>
      <c r="B50" s="90"/>
      <c r="C50" s="90"/>
      <c r="D50" s="90"/>
      <c r="E50" s="203"/>
      <c r="F50" s="203"/>
      <c r="G50" s="203"/>
      <c r="H50" s="203"/>
      <c r="I50" s="203"/>
      <c r="J50" s="203"/>
      <c r="K50" s="229" t="s">
        <v>126</v>
      </c>
      <c r="L50" s="213"/>
      <c r="M50" s="213"/>
      <c r="N50" s="213"/>
      <c r="O50" s="203"/>
    </row>
    <row r="51" spans="1:15">
      <c r="A51" s="91" t="s">
        <v>127</v>
      </c>
      <c r="B51" s="90"/>
      <c r="C51" s="90"/>
      <c r="D51" s="90"/>
      <c r="E51" s="203"/>
      <c r="F51" s="203"/>
      <c r="G51" s="203"/>
      <c r="H51" s="203"/>
      <c r="I51" s="203"/>
      <c r="J51" s="203"/>
      <c r="K51" s="64" t="s">
        <v>128</v>
      </c>
      <c r="L51" s="64" t="s">
        <v>129</v>
      </c>
      <c r="M51" s="64" t="s">
        <v>130</v>
      </c>
      <c r="N51" s="64" t="s">
        <v>131</v>
      </c>
      <c r="O51" s="203"/>
    </row>
    <row r="52" spans="1:15">
      <c r="A52" s="90" t="s">
        <v>132</v>
      </c>
      <c r="B52" s="90"/>
      <c r="C52" s="90"/>
      <c r="D52" s="90"/>
      <c r="E52" s="203"/>
      <c r="F52" s="203"/>
      <c r="G52" s="203"/>
      <c r="H52" s="203"/>
      <c r="I52" s="203"/>
      <c r="J52" s="203"/>
      <c r="K52" s="204" t="s">
        <v>133</v>
      </c>
      <c r="L52" s="66">
        <f>C11</f>
        <v>306336.98</v>
      </c>
      <c r="M52" s="66">
        <f>L52*12/5</f>
        <v>735208.75199999998</v>
      </c>
      <c r="N52" s="204" t="s">
        <v>134</v>
      </c>
      <c r="O52" s="203"/>
    </row>
    <row r="53" spans="1:15">
      <c r="A53" s="90" t="s">
        <v>135</v>
      </c>
      <c r="B53" s="90"/>
      <c r="C53" s="90"/>
      <c r="D53" s="90"/>
      <c r="E53" s="203"/>
      <c r="F53" s="203"/>
      <c r="G53" s="203"/>
      <c r="H53" s="203"/>
      <c r="I53" s="203"/>
      <c r="J53" s="203"/>
      <c r="K53" s="204" t="s">
        <v>136</v>
      </c>
      <c r="L53" s="66">
        <f>D11</f>
        <v>290590.78999999998</v>
      </c>
      <c r="M53" s="66">
        <f>L53*12/5</f>
        <v>697417.89599999995</v>
      </c>
      <c r="N53" s="204" t="s">
        <v>134</v>
      </c>
      <c r="O53" s="203"/>
    </row>
    <row r="54" spans="1:15">
      <c r="A54" s="90" t="s">
        <v>137</v>
      </c>
      <c r="B54" s="90"/>
      <c r="C54" s="90"/>
      <c r="D54" s="90"/>
      <c r="E54" s="203"/>
      <c r="F54" s="203"/>
      <c r="G54" s="203"/>
      <c r="H54" s="203"/>
      <c r="I54" s="203"/>
      <c r="J54" s="203"/>
      <c r="K54" s="204" t="s">
        <v>138</v>
      </c>
      <c r="L54" s="66">
        <f>E11</f>
        <v>15746.190000000013</v>
      </c>
      <c r="M54" s="66">
        <f>L54*12/5</f>
        <v>37790.856000000029</v>
      </c>
      <c r="N54" s="204" t="s">
        <v>139</v>
      </c>
      <c r="O54" s="203"/>
    </row>
    <row r="55" spans="1:15">
      <c r="A55" s="90"/>
      <c r="B55" s="90"/>
      <c r="C55" s="90"/>
      <c r="D55" s="90"/>
      <c r="E55" s="203"/>
      <c r="F55" s="203"/>
      <c r="G55" s="203"/>
      <c r="H55" s="203"/>
      <c r="I55" s="203"/>
      <c r="J55" s="203"/>
      <c r="K55" s="204" t="s">
        <v>140</v>
      </c>
      <c r="L55" s="66">
        <f>C19</f>
        <v>36066.69</v>
      </c>
      <c r="M55" s="66">
        <f>'Escola crianças'!D23</f>
        <v>43242.87</v>
      </c>
      <c r="N55" s="204" t="s">
        <v>141</v>
      </c>
      <c r="O55" s="203"/>
    </row>
    <row r="56" spans="1:15">
      <c r="A56" s="92" t="s">
        <v>142</v>
      </c>
      <c r="B56" s="90"/>
      <c r="C56" s="90"/>
      <c r="D56" s="90"/>
      <c r="E56" s="203"/>
      <c r="F56" s="203"/>
      <c r="G56" s="203"/>
      <c r="H56" s="203"/>
      <c r="I56" s="203"/>
      <c r="J56" s="203"/>
      <c r="K56" s="204" t="s">
        <v>143</v>
      </c>
      <c r="L56" s="66">
        <f>C20</f>
        <v>32019.47</v>
      </c>
      <c r="M56" s="66">
        <f>L56*12/5</f>
        <v>76846.728000000003</v>
      </c>
      <c r="N56" s="204" t="s">
        <v>144</v>
      </c>
      <c r="O56" s="203"/>
    </row>
    <row r="57" spans="1:15">
      <c r="A57" s="90" t="s">
        <v>145</v>
      </c>
      <c r="B57" s="90"/>
      <c r="C57" s="90"/>
      <c r="D57" s="90"/>
      <c r="E57" s="203"/>
      <c r="F57" s="203"/>
      <c r="G57" s="203"/>
      <c r="H57" s="203"/>
      <c r="I57" s="203"/>
      <c r="J57" s="203"/>
      <c r="K57" s="204" t="s">
        <v>146</v>
      </c>
      <c r="L57" s="66" t="e">
        <f>#REF!</f>
        <v>#REF!</v>
      </c>
      <c r="M57" s="66" t="e">
        <f>L57*12/5</f>
        <v>#REF!</v>
      </c>
      <c r="N57" s="204" t="s">
        <v>147</v>
      </c>
      <c r="O57" s="203"/>
    </row>
    <row r="58" spans="1:15">
      <c r="A58" s="90" t="s">
        <v>148</v>
      </c>
      <c r="B58" s="90"/>
      <c r="C58" s="90"/>
      <c r="D58" s="90"/>
      <c r="E58" s="203"/>
      <c r="F58" s="203"/>
      <c r="G58" s="203"/>
      <c r="H58" s="203"/>
      <c r="I58" s="203"/>
      <c r="J58" s="203"/>
      <c r="K58" s="204" t="s">
        <v>18</v>
      </c>
      <c r="L58" s="66">
        <f>G11</f>
        <v>60620</v>
      </c>
      <c r="M58" s="66">
        <f>L58*2</f>
        <v>121240</v>
      </c>
      <c r="N58" s="204" t="s">
        <v>149</v>
      </c>
      <c r="O58" s="203"/>
    </row>
    <row r="59" spans="1:15">
      <c r="A59" s="90" t="s">
        <v>150</v>
      </c>
      <c r="B59" s="90"/>
      <c r="C59" s="90"/>
      <c r="D59" s="90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</row>
    <row r="74" spans="1:14">
      <c r="A74" s="213" t="s">
        <v>151</v>
      </c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</row>
    <row r="75" spans="1:14">
      <c r="A75" s="230" t="s">
        <v>152</v>
      </c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</row>
    <row r="76" spans="1:14">
      <c r="A76" s="225" t="s">
        <v>153</v>
      </c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</row>
  </sheetData>
  <mergeCells count="20">
    <mergeCell ref="A76:N76"/>
    <mergeCell ref="F37:I37"/>
    <mergeCell ref="A45:D45"/>
    <mergeCell ref="K27:N27"/>
    <mergeCell ref="K50:N50"/>
    <mergeCell ref="A74:N74"/>
    <mergeCell ref="A75:N75"/>
    <mergeCell ref="A33:D33"/>
    <mergeCell ref="F28:I28"/>
    <mergeCell ref="F21:F25"/>
    <mergeCell ref="K4:O4"/>
    <mergeCell ref="K5:O5"/>
    <mergeCell ref="K11:O11"/>
    <mergeCell ref="K19:N19"/>
    <mergeCell ref="F16:F20"/>
    <mergeCell ref="A1:N1"/>
    <mergeCell ref="A2:N2"/>
    <mergeCell ref="A4:H4"/>
    <mergeCell ref="A14:D14"/>
    <mergeCell ref="F14:I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"/>
  <sheetViews>
    <sheetView tabSelected="1" topLeftCell="A61" zoomScale="130" zoomScaleNormal="130" workbookViewId="0">
      <selection activeCell="A68" sqref="A68:XFD68"/>
    </sheetView>
  </sheetViews>
  <sheetFormatPr defaultRowHeight="12.75"/>
  <cols>
    <col min="1" max="1" width="27.1640625" style="95" bestFit="1" customWidth="1"/>
    <col min="2" max="2" width="18.83203125" style="95" customWidth="1"/>
    <col min="3" max="3" width="26.6640625" style="95" customWidth="1"/>
    <col min="4" max="4" width="33.33203125" style="95" customWidth="1"/>
    <col min="5" max="5" width="22.1640625" style="95" customWidth="1"/>
    <col min="6" max="6" width="15.5" style="95" customWidth="1"/>
    <col min="7" max="7" width="16.6640625" style="196" customWidth="1"/>
    <col min="8" max="8" width="18.83203125" style="195" customWidth="1"/>
    <col min="9" max="10" width="16.6640625" style="95" customWidth="1"/>
    <col min="11" max="11" width="20" style="95" customWidth="1"/>
    <col min="12" max="12" width="33.33203125" style="95" customWidth="1"/>
    <col min="13" max="13" width="20" style="95" customWidth="1"/>
    <col min="14" max="14" width="16.6640625" style="95" customWidth="1"/>
    <col min="15" max="15" width="26.6640625" style="95" customWidth="1"/>
    <col min="16" max="16" width="22.1640625" style="95" customWidth="1"/>
    <col min="17" max="17" width="33.33203125" style="95" customWidth="1"/>
    <col min="18" max="18" width="22.1640625" style="95" customWidth="1"/>
    <col min="19" max="19" width="15.5" style="95" customWidth="1"/>
    <col min="20" max="16384" width="9.33203125" style="95"/>
  </cols>
  <sheetData>
    <row r="1" spans="2:19" s="10" customFormat="1" ht="39.75" customHeight="1">
      <c r="B1" s="96" t="s">
        <v>154</v>
      </c>
      <c r="C1" s="192" t="s">
        <v>155</v>
      </c>
      <c r="D1" s="192" t="s">
        <v>156</v>
      </c>
      <c r="E1" s="192" t="s">
        <v>157</v>
      </c>
      <c r="F1" s="192" t="s">
        <v>158</v>
      </c>
      <c r="G1" s="192" t="s">
        <v>159</v>
      </c>
      <c r="H1" s="193" t="s">
        <v>160</v>
      </c>
      <c r="I1" s="192" t="s">
        <v>161</v>
      </c>
      <c r="J1" s="192" t="s">
        <v>162</v>
      </c>
      <c r="K1" s="192" t="s">
        <v>163</v>
      </c>
      <c r="L1" s="192" t="s">
        <v>164</v>
      </c>
      <c r="M1" s="192" t="s">
        <v>165</v>
      </c>
      <c r="N1" s="192" t="s">
        <v>166</v>
      </c>
      <c r="O1" s="192" t="s">
        <v>167</v>
      </c>
      <c r="P1" s="192" t="s">
        <v>168</v>
      </c>
      <c r="Q1" s="192" t="s">
        <v>169</v>
      </c>
      <c r="R1" s="192" t="s">
        <v>170</v>
      </c>
      <c r="S1" s="194" t="s">
        <v>171</v>
      </c>
    </row>
    <row r="2" spans="2:19" ht="21.75" customHeight="1">
      <c r="B2" s="178" t="s">
        <v>172</v>
      </c>
      <c r="C2" s="97" t="s">
        <v>173</v>
      </c>
      <c r="D2" s="97" t="s">
        <v>174</v>
      </c>
      <c r="E2" s="98" t="s">
        <v>175</v>
      </c>
      <c r="F2" s="99" t="s">
        <v>66</v>
      </c>
      <c r="G2" s="100">
        <v>45597</v>
      </c>
      <c r="H2" s="101">
        <v>840</v>
      </c>
      <c r="I2" s="102" t="b">
        <v>0</v>
      </c>
      <c r="J2" s="103">
        <v>840</v>
      </c>
      <c r="K2" s="103" t="s">
        <v>176</v>
      </c>
      <c r="L2" s="179" t="s">
        <v>177</v>
      </c>
      <c r="M2" s="100">
        <v>45687</v>
      </c>
      <c r="N2" s="99">
        <v>133099897</v>
      </c>
      <c r="O2" s="97"/>
      <c r="P2" s="99"/>
      <c r="Q2" s="97"/>
      <c r="R2" s="99"/>
      <c r="S2" s="104"/>
    </row>
    <row r="3" spans="2:19" ht="21.75" customHeight="1">
      <c r="B3" s="180" t="s">
        <v>172</v>
      </c>
      <c r="C3" s="105" t="s">
        <v>173</v>
      </c>
      <c r="D3" s="105" t="s">
        <v>178</v>
      </c>
      <c r="E3" s="106" t="s">
        <v>179</v>
      </c>
      <c r="F3" s="107" t="s">
        <v>74</v>
      </c>
      <c r="G3" s="108">
        <v>45300</v>
      </c>
      <c r="H3" s="109">
        <v>60</v>
      </c>
      <c r="I3" s="110" t="b">
        <v>1</v>
      </c>
      <c r="J3" s="111">
        <v>-0.01</v>
      </c>
      <c r="K3" s="111">
        <v>60.01</v>
      </c>
      <c r="L3" s="181"/>
      <c r="M3" s="108">
        <v>45715</v>
      </c>
      <c r="N3" s="107">
        <v>133971697</v>
      </c>
      <c r="O3" s="105"/>
      <c r="P3" s="107"/>
      <c r="Q3" s="105"/>
      <c r="R3" s="107"/>
      <c r="S3" s="112"/>
    </row>
    <row r="4" spans="2:19" ht="21.75" customHeight="1">
      <c r="B4" s="178" t="s">
        <v>172</v>
      </c>
      <c r="C4" s="97" t="s">
        <v>180</v>
      </c>
      <c r="D4" s="97" t="s">
        <v>181</v>
      </c>
      <c r="E4" s="98" t="s">
        <v>182</v>
      </c>
      <c r="F4" s="99" t="s">
        <v>64</v>
      </c>
      <c r="G4" s="100">
        <v>45899</v>
      </c>
      <c r="H4" s="101">
        <v>690</v>
      </c>
      <c r="I4" s="102" t="b">
        <v>1</v>
      </c>
      <c r="J4" s="103">
        <v>138</v>
      </c>
      <c r="K4" s="103">
        <v>552</v>
      </c>
      <c r="L4" s="179"/>
      <c r="M4" s="100">
        <v>45944</v>
      </c>
      <c r="N4" s="99">
        <v>136332380</v>
      </c>
      <c r="O4" s="97"/>
      <c r="P4" s="99"/>
      <c r="Q4" s="97"/>
      <c r="R4" s="99"/>
      <c r="S4" s="104"/>
    </row>
    <row r="5" spans="2:19" ht="21.75" customHeight="1">
      <c r="B5" s="180" t="s">
        <v>172</v>
      </c>
      <c r="C5" s="105" t="s">
        <v>183</v>
      </c>
      <c r="D5" s="105" t="s">
        <v>184</v>
      </c>
      <c r="E5" s="106" t="s">
        <v>185</v>
      </c>
      <c r="F5" s="107" t="s">
        <v>66</v>
      </c>
      <c r="G5" s="108">
        <v>45716</v>
      </c>
      <c r="H5" s="109">
        <v>820</v>
      </c>
      <c r="I5" s="110" t="b">
        <v>1</v>
      </c>
      <c r="J5" s="111">
        <v>163.84</v>
      </c>
      <c r="K5" s="111">
        <v>656.16</v>
      </c>
      <c r="L5" s="181"/>
      <c r="M5" s="108">
        <v>45852</v>
      </c>
      <c r="N5" s="107">
        <v>134388950</v>
      </c>
      <c r="O5" s="105"/>
      <c r="P5" s="107"/>
      <c r="Q5" s="105"/>
      <c r="R5" s="107"/>
      <c r="S5" s="112"/>
    </row>
    <row r="6" spans="2:19" ht="21.75" customHeight="1">
      <c r="B6" s="178" t="s">
        <v>172</v>
      </c>
      <c r="C6" s="97" t="s">
        <v>183</v>
      </c>
      <c r="D6" s="97" t="s">
        <v>186</v>
      </c>
      <c r="E6" s="98" t="s">
        <v>185</v>
      </c>
      <c r="F6" s="99" t="s">
        <v>69</v>
      </c>
      <c r="G6" s="100">
        <v>45776</v>
      </c>
      <c r="H6" s="101">
        <v>850</v>
      </c>
      <c r="I6" s="102" t="b">
        <v>1</v>
      </c>
      <c r="J6" s="103">
        <v>169.71</v>
      </c>
      <c r="K6" s="103">
        <v>680.29</v>
      </c>
      <c r="L6" s="179" t="s">
        <v>187</v>
      </c>
      <c r="M6" s="100">
        <v>45835</v>
      </c>
      <c r="N6" s="99">
        <v>135081986</v>
      </c>
      <c r="O6" s="97"/>
      <c r="P6" s="99"/>
      <c r="Q6" s="97"/>
      <c r="R6" s="99"/>
      <c r="S6" s="104"/>
    </row>
    <row r="7" spans="2:19" ht="21.75" customHeight="1">
      <c r="B7" s="180" t="s">
        <v>172</v>
      </c>
      <c r="C7" s="105" t="s">
        <v>188</v>
      </c>
      <c r="D7" s="105" t="s">
        <v>174</v>
      </c>
      <c r="E7" s="106" t="s">
        <v>175</v>
      </c>
      <c r="F7" s="107" t="s">
        <v>66</v>
      </c>
      <c r="G7" s="108">
        <v>45567</v>
      </c>
      <c r="H7" s="109">
        <v>640</v>
      </c>
      <c r="I7" s="110" t="b">
        <v>1</v>
      </c>
      <c r="J7" s="111">
        <v>128.28</v>
      </c>
      <c r="K7" s="111">
        <v>511.72</v>
      </c>
      <c r="L7" s="181"/>
      <c r="M7" s="108">
        <v>45715</v>
      </c>
      <c r="N7" s="107">
        <v>133981461</v>
      </c>
      <c r="O7" s="105"/>
      <c r="P7" s="107"/>
      <c r="Q7" s="105"/>
      <c r="R7" s="107"/>
      <c r="S7" s="112"/>
    </row>
    <row r="8" spans="2:19" ht="21.75" customHeight="1">
      <c r="B8" s="178" t="s">
        <v>172</v>
      </c>
      <c r="C8" s="97" t="s">
        <v>188</v>
      </c>
      <c r="D8" s="97" t="s">
        <v>184</v>
      </c>
      <c r="E8" s="98" t="s">
        <v>185</v>
      </c>
      <c r="F8" s="99" t="s">
        <v>66</v>
      </c>
      <c r="G8" s="100">
        <v>45685</v>
      </c>
      <c r="H8" s="101">
        <v>1040</v>
      </c>
      <c r="I8" s="102" t="b">
        <v>1</v>
      </c>
      <c r="J8" s="103">
        <v>207.52</v>
      </c>
      <c r="K8" s="103">
        <v>832.48</v>
      </c>
      <c r="L8" s="179">
        <f>0</f>
        <v>0</v>
      </c>
      <c r="M8" s="100">
        <v>45965</v>
      </c>
      <c r="N8" s="99">
        <v>134102446</v>
      </c>
      <c r="O8" s="97"/>
      <c r="P8" s="99"/>
      <c r="Q8" s="97"/>
      <c r="R8" s="99"/>
      <c r="S8" s="104"/>
    </row>
    <row r="9" spans="2:19" ht="21.75" customHeight="1">
      <c r="B9" s="180" t="s">
        <v>172</v>
      </c>
      <c r="C9" s="105" t="s">
        <v>173</v>
      </c>
      <c r="D9" s="105" t="s">
        <v>178</v>
      </c>
      <c r="E9" s="106" t="s">
        <v>179</v>
      </c>
      <c r="F9" s="107" t="s">
        <v>74</v>
      </c>
      <c r="G9" s="108">
        <v>45300</v>
      </c>
      <c r="H9" s="109">
        <v>60</v>
      </c>
      <c r="I9" s="110" t="b">
        <v>0</v>
      </c>
      <c r="J9" s="111">
        <v>60</v>
      </c>
      <c r="K9" s="111" t="s">
        <v>176</v>
      </c>
      <c r="L9" s="181" t="s">
        <v>189</v>
      </c>
      <c r="M9" s="108">
        <v>45965</v>
      </c>
      <c r="N9" s="107">
        <v>134112070</v>
      </c>
      <c r="O9" s="105"/>
      <c r="P9" s="107"/>
      <c r="Q9" s="105"/>
      <c r="R9" s="107"/>
      <c r="S9" s="112"/>
    </row>
    <row r="10" spans="2:19" ht="21.75" customHeight="1">
      <c r="B10" s="178" t="s">
        <v>172</v>
      </c>
      <c r="C10" s="97" t="s">
        <v>173</v>
      </c>
      <c r="D10" s="97" t="s">
        <v>190</v>
      </c>
      <c r="E10" s="98" t="s">
        <v>191</v>
      </c>
      <c r="F10" s="99" t="s">
        <v>74</v>
      </c>
      <c r="G10" s="100">
        <v>45665</v>
      </c>
      <c r="H10" s="101">
        <v>1260</v>
      </c>
      <c r="I10" s="102" t="b">
        <v>1</v>
      </c>
      <c r="J10" s="103">
        <v>504.03</v>
      </c>
      <c r="K10" s="103">
        <v>755.97</v>
      </c>
      <c r="L10" s="179" t="s">
        <v>192</v>
      </c>
      <c r="M10" s="100">
        <v>45965</v>
      </c>
      <c r="N10" s="99">
        <v>134112138</v>
      </c>
      <c r="O10" s="97"/>
      <c r="P10" s="99"/>
      <c r="Q10" s="97"/>
      <c r="R10" s="99"/>
      <c r="S10" s="104"/>
    </row>
    <row r="11" spans="2:19" ht="21.75" customHeight="1">
      <c r="B11" s="180" t="s">
        <v>172</v>
      </c>
      <c r="C11" s="105" t="s">
        <v>173</v>
      </c>
      <c r="D11" s="105" t="s">
        <v>190</v>
      </c>
      <c r="E11" s="106" t="s">
        <v>191</v>
      </c>
      <c r="F11" s="107" t="s">
        <v>74</v>
      </c>
      <c r="G11" s="108">
        <v>45684</v>
      </c>
      <c r="H11" s="109">
        <v>580</v>
      </c>
      <c r="I11" s="110" t="b">
        <v>1</v>
      </c>
      <c r="J11" s="111">
        <v>231.98</v>
      </c>
      <c r="K11" s="111">
        <v>348.02</v>
      </c>
      <c r="L11" s="181" t="s">
        <v>192</v>
      </c>
      <c r="M11" s="108">
        <v>45965</v>
      </c>
      <c r="N11" s="107">
        <v>134112198</v>
      </c>
      <c r="O11" s="105"/>
      <c r="P11" s="107"/>
      <c r="Q11" s="105"/>
      <c r="R11" s="107"/>
      <c r="S11" s="112"/>
    </row>
    <row r="12" spans="2:19" ht="21.75" customHeight="1">
      <c r="B12" s="178" t="s">
        <v>172</v>
      </c>
      <c r="C12" s="97" t="s">
        <v>188</v>
      </c>
      <c r="D12" s="97" t="s">
        <v>186</v>
      </c>
      <c r="E12" s="98" t="s">
        <v>185</v>
      </c>
      <c r="F12" s="99" t="s">
        <v>69</v>
      </c>
      <c r="G12" s="100">
        <v>45776</v>
      </c>
      <c r="H12" s="101">
        <v>1200</v>
      </c>
      <c r="I12" s="102" t="b">
        <v>1</v>
      </c>
      <c r="J12" s="103">
        <v>-0.9</v>
      </c>
      <c r="K12" s="103">
        <v>1200.9000000000001</v>
      </c>
      <c r="L12" s="179" t="s">
        <v>187</v>
      </c>
      <c r="M12" s="100">
        <v>45835</v>
      </c>
      <c r="N12" s="99">
        <v>135081001</v>
      </c>
      <c r="O12" s="97"/>
      <c r="P12" s="99"/>
      <c r="Q12" s="97"/>
      <c r="R12" s="99"/>
      <c r="S12" s="104"/>
    </row>
    <row r="13" spans="2:19" ht="21.75" customHeight="1">
      <c r="B13" s="180" t="s">
        <v>172</v>
      </c>
      <c r="C13" s="105" t="s">
        <v>183</v>
      </c>
      <c r="D13" s="105" t="s">
        <v>193</v>
      </c>
      <c r="E13" s="106" t="s">
        <v>194</v>
      </c>
      <c r="F13" s="107" t="s">
        <v>69</v>
      </c>
      <c r="G13" s="108">
        <v>45769</v>
      </c>
      <c r="H13" s="109">
        <v>640</v>
      </c>
      <c r="I13" s="110" t="b">
        <v>1</v>
      </c>
      <c r="J13" s="111">
        <v>0.45</v>
      </c>
      <c r="K13" s="111">
        <v>639.54999999999995</v>
      </c>
      <c r="L13" s="181"/>
      <c r="M13" s="108">
        <v>45835</v>
      </c>
      <c r="N13" s="107">
        <v>135081985</v>
      </c>
      <c r="O13" s="105"/>
      <c r="P13" s="107"/>
      <c r="Q13" s="105"/>
      <c r="R13" s="107"/>
      <c r="S13" s="112"/>
    </row>
    <row r="14" spans="2:19" ht="21.75" customHeight="1">
      <c r="B14" s="178" t="s">
        <v>172</v>
      </c>
      <c r="C14" s="97" t="s">
        <v>188</v>
      </c>
      <c r="D14" s="97" t="s">
        <v>174</v>
      </c>
      <c r="E14" s="98" t="s">
        <v>175</v>
      </c>
      <c r="F14" s="99" t="s">
        <v>66</v>
      </c>
      <c r="G14" s="100">
        <v>45599</v>
      </c>
      <c r="H14" s="101">
        <v>840</v>
      </c>
      <c r="I14" s="102" t="b">
        <v>1</v>
      </c>
      <c r="J14" s="103">
        <v>168.07</v>
      </c>
      <c r="K14" s="103">
        <v>671.93</v>
      </c>
      <c r="L14" s="179"/>
      <c r="M14" s="100">
        <v>45715</v>
      </c>
      <c r="N14" s="99">
        <v>133981476</v>
      </c>
      <c r="O14" s="97"/>
      <c r="P14" s="99"/>
      <c r="Q14" s="97"/>
      <c r="R14" s="99"/>
      <c r="S14" s="104"/>
    </row>
    <row r="15" spans="2:19" ht="21.75" customHeight="1">
      <c r="B15" s="180" t="s">
        <v>172</v>
      </c>
      <c r="C15" s="105" t="s">
        <v>180</v>
      </c>
      <c r="D15" s="105" t="s">
        <v>195</v>
      </c>
      <c r="E15" s="106" t="s">
        <v>196</v>
      </c>
      <c r="F15" s="107" t="s">
        <v>69</v>
      </c>
      <c r="G15" s="108">
        <v>45775</v>
      </c>
      <c r="H15" s="109">
        <v>850</v>
      </c>
      <c r="I15" s="110" t="b">
        <v>0</v>
      </c>
      <c r="J15" s="111">
        <v>850</v>
      </c>
      <c r="K15" s="111" t="s">
        <v>176</v>
      </c>
      <c r="L15" s="181" t="s">
        <v>197</v>
      </c>
      <c r="M15" s="108">
        <v>45835</v>
      </c>
      <c r="N15" s="107">
        <v>135081988</v>
      </c>
      <c r="O15" s="113" t="s">
        <v>198</v>
      </c>
      <c r="P15" s="107">
        <v>41072719</v>
      </c>
      <c r="Q15" s="105" t="s">
        <v>199</v>
      </c>
      <c r="R15" s="114" t="s">
        <v>200</v>
      </c>
      <c r="S15" s="112"/>
    </row>
    <row r="16" spans="2:19" ht="21.75" customHeight="1">
      <c r="B16" s="178" t="s">
        <v>172</v>
      </c>
      <c r="C16" s="97" t="s">
        <v>173</v>
      </c>
      <c r="D16" s="97" t="s">
        <v>201</v>
      </c>
      <c r="E16" s="98" t="s">
        <v>202</v>
      </c>
      <c r="F16" s="99" t="s">
        <v>69</v>
      </c>
      <c r="G16" s="100">
        <v>45772</v>
      </c>
      <c r="H16" s="101">
        <v>700</v>
      </c>
      <c r="I16" s="102" t="b">
        <v>1</v>
      </c>
      <c r="J16" s="103">
        <v>-0.55000000000000004</v>
      </c>
      <c r="K16" s="103">
        <v>700.55</v>
      </c>
      <c r="L16" s="179"/>
      <c r="M16" s="100">
        <v>45835</v>
      </c>
      <c r="N16" s="99">
        <v>135123504</v>
      </c>
      <c r="O16" s="97"/>
      <c r="P16" s="99"/>
      <c r="Q16" s="97"/>
      <c r="R16" s="99"/>
      <c r="S16" s="104"/>
    </row>
    <row r="17" spans="2:19" ht="21.75" customHeight="1">
      <c r="B17" s="180" t="s">
        <v>172</v>
      </c>
      <c r="C17" s="105" t="s">
        <v>173</v>
      </c>
      <c r="D17" s="105" t="s">
        <v>203</v>
      </c>
      <c r="E17" s="106" t="s">
        <v>204</v>
      </c>
      <c r="F17" s="107" t="s">
        <v>66</v>
      </c>
      <c r="G17" s="108">
        <v>45703</v>
      </c>
      <c r="H17" s="109">
        <v>300</v>
      </c>
      <c r="I17" s="110" t="b">
        <v>1</v>
      </c>
      <c r="J17" s="111">
        <v>60</v>
      </c>
      <c r="K17" s="111">
        <v>240</v>
      </c>
      <c r="L17" s="181"/>
      <c r="M17" s="108">
        <v>45852</v>
      </c>
      <c r="N17" s="107">
        <v>134388831</v>
      </c>
      <c r="O17" s="105"/>
      <c r="P17" s="107"/>
      <c r="Q17" s="105"/>
      <c r="R17" s="107"/>
      <c r="S17" s="112"/>
    </row>
    <row r="18" spans="2:19" ht="21.75" customHeight="1">
      <c r="B18" s="178" t="s">
        <v>172</v>
      </c>
      <c r="C18" s="97" t="s">
        <v>173</v>
      </c>
      <c r="D18" s="97" t="s">
        <v>205</v>
      </c>
      <c r="E18" s="98" t="s">
        <v>206</v>
      </c>
      <c r="F18" s="99" t="s">
        <v>69</v>
      </c>
      <c r="G18" s="100">
        <v>45702</v>
      </c>
      <c r="H18" s="101">
        <v>700</v>
      </c>
      <c r="I18" s="102" t="b">
        <v>1</v>
      </c>
      <c r="J18" s="103">
        <v>140</v>
      </c>
      <c r="K18" s="103">
        <v>560</v>
      </c>
      <c r="L18" s="179"/>
      <c r="M18" s="100">
        <v>45852</v>
      </c>
      <c r="N18" s="99">
        <v>134388832</v>
      </c>
      <c r="O18" s="97"/>
      <c r="P18" s="99"/>
      <c r="Q18" s="97"/>
      <c r="R18" s="99"/>
      <c r="S18" s="104"/>
    </row>
    <row r="19" spans="2:19" ht="21.75" customHeight="1">
      <c r="B19" s="180" t="s">
        <v>172</v>
      </c>
      <c r="C19" s="105" t="s">
        <v>188</v>
      </c>
      <c r="D19" s="105" t="s">
        <v>174</v>
      </c>
      <c r="E19" s="106" t="s">
        <v>175</v>
      </c>
      <c r="F19" s="107" t="s">
        <v>66</v>
      </c>
      <c r="G19" s="108">
        <v>45538</v>
      </c>
      <c r="H19" s="109">
        <v>500</v>
      </c>
      <c r="I19" s="110" t="b">
        <v>1</v>
      </c>
      <c r="J19" s="111">
        <v>100</v>
      </c>
      <c r="K19" s="111">
        <v>400</v>
      </c>
      <c r="L19" s="181"/>
      <c r="M19" s="108">
        <v>45715</v>
      </c>
      <c r="N19" s="107">
        <v>133981491</v>
      </c>
      <c r="O19" s="105"/>
      <c r="P19" s="107"/>
      <c r="Q19" s="105"/>
      <c r="R19" s="107"/>
      <c r="S19" s="112"/>
    </row>
    <row r="20" spans="2:19" ht="21.75" customHeight="1">
      <c r="B20" s="178" t="s">
        <v>172</v>
      </c>
      <c r="C20" s="97" t="s">
        <v>188</v>
      </c>
      <c r="D20" s="97" t="s">
        <v>184</v>
      </c>
      <c r="E20" s="98" t="s">
        <v>185</v>
      </c>
      <c r="F20" s="99" t="s">
        <v>66</v>
      </c>
      <c r="G20" s="100">
        <v>45716</v>
      </c>
      <c r="H20" s="101">
        <v>1040</v>
      </c>
      <c r="I20" s="102" t="b">
        <v>1</v>
      </c>
      <c r="J20" s="103">
        <v>207.79</v>
      </c>
      <c r="K20" s="103">
        <v>832.21</v>
      </c>
      <c r="L20" s="179"/>
      <c r="M20" s="100">
        <v>45852</v>
      </c>
      <c r="N20" s="99">
        <v>134388975</v>
      </c>
      <c r="O20" s="97"/>
      <c r="P20" s="99"/>
      <c r="Q20" s="97"/>
      <c r="R20" s="99"/>
      <c r="S20" s="104"/>
    </row>
    <row r="21" spans="2:19" ht="21.75" customHeight="1">
      <c r="B21" s="180" t="s">
        <v>172</v>
      </c>
      <c r="C21" s="105" t="s">
        <v>173</v>
      </c>
      <c r="D21" s="105" t="s">
        <v>207</v>
      </c>
      <c r="E21" s="106" t="s">
        <v>204</v>
      </c>
      <c r="F21" s="107" t="s">
        <v>66</v>
      </c>
      <c r="G21" s="108">
        <v>45731</v>
      </c>
      <c r="H21" s="109">
        <v>990</v>
      </c>
      <c r="I21" s="110" t="b">
        <v>1</v>
      </c>
      <c r="J21" s="111">
        <v>198.07</v>
      </c>
      <c r="K21" s="111">
        <v>791.93</v>
      </c>
      <c r="L21" s="181"/>
      <c r="M21" s="108">
        <v>45852</v>
      </c>
      <c r="N21" s="107">
        <v>134617047</v>
      </c>
      <c r="O21" s="105"/>
      <c r="P21" s="107"/>
      <c r="Q21" s="105"/>
      <c r="R21" s="107"/>
      <c r="S21" s="112"/>
    </row>
    <row r="22" spans="2:19" ht="21.75" customHeight="1">
      <c r="B22" s="178" t="s">
        <v>172</v>
      </c>
      <c r="C22" s="97" t="s">
        <v>183</v>
      </c>
      <c r="D22" s="97" t="s">
        <v>193</v>
      </c>
      <c r="E22" s="98" t="s">
        <v>194</v>
      </c>
      <c r="F22" s="99" t="s">
        <v>69</v>
      </c>
      <c r="G22" s="100">
        <v>45728</v>
      </c>
      <c r="H22" s="101">
        <v>640</v>
      </c>
      <c r="I22" s="102" t="b">
        <v>1</v>
      </c>
      <c r="J22" s="103">
        <v>-0.02</v>
      </c>
      <c r="K22" s="103">
        <v>640.02</v>
      </c>
      <c r="L22" s="179"/>
      <c r="M22" s="100">
        <v>45852</v>
      </c>
      <c r="N22" s="99">
        <v>134632390</v>
      </c>
      <c r="O22" s="97"/>
      <c r="P22" s="99"/>
      <c r="Q22" s="97"/>
      <c r="R22" s="99"/>
      <c r="S22" s="104"/>
    </row>
    <row r="23" spans="2:19" ht="21.75" customHeight="1">
      <c r="B23" s="180" t="s">
        <v>172</v>
      </c>
      <c r="C23" s="105" t="s">
        <v>188</v>
      </c>
      <c r="D23" s="105" t="s">
        <v>174</v>
      </c>
      <c r="E23" s="106" t="s">
        <v>175</v>
      </c>
      <c r="F23" s="107" t="s">
        <v>66</v>
      </c>
      <c r="G23" s="108">
        <v>45629</v>
      </c>
      <c r="H23" s="109">
        <v>640</v>
      </c>
      <c r="I23" s="110" t="b">
        <v>1</v>
      </c>
      <c r="J23" s="111">
        <v>127.83</v>
      </c>
      <c r="K23" s="111">
        <v>512.16999999999996</v>
      </c>
      <c r="L23" s="181"/>
      <c r="M23" s="108">
        <v>45715</v>
      </c>
      <c r="N23" s="107">
        <v>133981505</v>
      </c>
      <c r="O23" s="105"/>
      <c r="P23" s="107"/>
      <c r="Q23" s="105"/>
      <c r="R23" s="107"/>
      <c r="S23" s="112"/>
    </row>
    <row r="24" spans="2:19" ht="21.75" customHeight="1">
      <c r="B24" s="178" t="s">
        <v>172</v>
      </c>
      <c r="C24" s="97" t="s">
        <v>180</v>
      </c>
      <c r="D24" s="97" t="s">
        <v>193</v>
      </c>
      <c r="E24" s="98" t="s">
        <v>194</v>
      </c>
      <c r="F24" s="99" t="s">
        <v>69</v>
      </c>
      <c r="G24" s="100">
        <v>45728</v>
      </c>
      <c r="H24" s="101">
        <v>640</v>
      </c>
      <c r="I24" s="102" t="b">
        <v>1</v>
      </c>
      <c r="J24" s="103">
        <v>-0.02</v>
      </c>
      <c r="K24" s="103">
        <v>640.02</v>
      </c>
      <c r="L24" s="179"/>
      <c r="M24" s="100">
        <v>45852</v>
      </c>
      <c r="N24" s="99">
        <v>134632639</v>
      </c>
      <c r="O24" s="97"/>
      <c r="P24" s="99"/>
      <c r="Q24" s="97"/>
      <c r="R24" s="99"/>
      <c r="S24" s="104"/>
    </row>
    <row r="25" spans="2:19" ht="21.75" customHeight="1">
      <c r="B25" s="180" t="s">
        <v>172</v>
      </c>
      <c r="C25" s="105" t="s">
        <v>180</v>
      </c>
      <c r="D25" s="105" t="s">
        <v>208</v>
      </c>
      <c r="E25" s="106" t="s">
        <v>175</v>
      </c>
      <c r="F25" s="107" t="s">
        <v>66</v>
      </c>
      <c r="G25" s="108">
        <v>45725</v>
      </c>
      <c r="H25" s="109">
        <v>688</v>
      </c>
      <c r="I25" s="110" t="b">
        <v>1</v>
      </c>
      <c r="J25" s="111">
        <v>137.79</v>
      </c>
      <c r="K25" s="111">
        <v>550.21</v>
      </c>
      <c r="L25" s="181"/>
      <c r="M25" s="108">
        <v>45852</v>
      </c>
      <c r="N25" s="107">
        <v>134632534</v>
      </c>
      <c r="O25" s="105"/>
      <c r="P25" s="107"/>
      <c r="Q25" s="105"/>
      <c r="R25" s="107"/>
      <c r="S25" s="112"/>
    </row>
    <row r="26" spans="2:19" ht="21.75" customHeight="1">
      <c r="B26" s="178" t="s">
        <v>172</v>
      </c>
      <c r="C26" s="97" t="s">
        <v>188</v>
      </c>
      <c r="D26" s="97" t="s">
        <v>209</v>
      </c>
      <c r="E26" s="98" t="s">
        <v>202</v>
      </c>
      <c r="F26" s="99" t="s">
        <v>64</v>
      </c>
      <c r="G26" s="100">
        <v>45901</v>
      </c>
      <c r="H26" s="101">
        <v>700</v>
      </c>
      <c r="I26" s="102" t="b">
        <v>1</v>
      </c>
      <c r="J26" s="103">
        <v>-0.01</v>
      </c>
      <c r="K26" s="103">
        <v>700.01</v>
      </c>
      <c r="L26" s="179"/>
      <c r="M26" s="100">
        <v>45944</v>
      </c>
      <c r="N26" s="99">
        <v>136332485</v>
      </c>
      <c r="O26" s="97"/>
      <c r="P26" s="99"/>
      <c r="Q26" s="97"/>
      <c r="R26" s="99"/>
      <c r="S26" s="104"/>
    </row>
    <row r="27" spans="2:19" ht="21.75" customHeight="1">
      <c r="B27" s="180" t="s">
        <v>172</v>
      </c>
      <c r="C27" s="105" t="s">
        <v>173</v>
      </c>
      <c r="D27" s="105" t="s">
        <v>210</v>
      </c>
      <c r="E27" s="106" t="s">
        <v>211</v>
      </c>
      <c r="F27" s="107" t="s">
        <v>64</v>
      </c>
      <c r="G27" s="108">
        <v>45916</v>
      </c>
      <c r="H27" s="109">
        <v>5600</v>
      </c>
      <c r="I27" s="110" t="b">
        <v>1</v>
      </c>
      <c r="J27" s="111">
        <v>0.02</v>
      </c>
      <c r="K27" s="111">
        <v>5599.98</v>
      </c>
      <c r="L27" s="181"/>
      <c r="M27" s="108">
        <v>45944</v>
      </c>
      <c r="N27" s="107">
        <v>136476032</v>
      </c>
      <c r="O27" s="105"/>
      <c r="P27" s="107"/>
      <c r="Q27" s="105"/>
      <c r="R27" s="107"/>
      <c r="S27" s="112"/>
    </row>
    <row r="28" spans="2:19" ht="21.75" customHeight="1">
      <c r="B28" s="178" t="s">
        <v>172</v>
      </c>
      <c r="C28" s="97" t="s">
        <v>183</v>
      </c>
      <c r="D28" s="97" t="s">
        <v>212</v>
      </c>
      <c r="E28" s="98" t="s">
        <v>194</v>
      </c>
      <c r="F28" s="99" t="s">
        <v>64</v>
      </c>
      <c r="G28" s="100">
        <v>45923</v>
      </c>
      <c r="H28" s="101">
        <v>690</v>
      </c>
      <c r="I28" s="102" t="b">
        <v>1</v>
      </c>
      <c r="J28" s="103">
        <v>137.97999999999999</v>
      </c>
      <c r="K28" s="103">
        <v>552.02</v>
      </c>
      <c r="L28" s="179"/>
      <c r="M28" s="100">
        <v>45944</v>
      </c>
      <c r="N28" s="99">
        <v>136626817</v>
      </c>
      <c r="O28" s="97"/>
      <c r="P28" s="99"/>
      <c r="Q28" s="97"/>
      <c r="R28" s="99"/>
      <c r="S28" s="104"/>
    </row>
    <row r="29" spans="2:19" ht="21.75" customHeight="1">
      <c r="B29" s="180" t="s">
        <v>172</v>
      </c>
      <c r="C29" s="105" t="s">
        <v>173</v>
      </c>
      <c r="D29" s="105" t="s">
        <v>208</v>
      </c>
      <c r="E29" s="106" t="s">
        <v>175</v>
      </c>
      <c r="F29" s="107" t="s">
        <v>64</v>
      </c>
      <c r="G29" s="108">
        <v>45919</v>
      </c>
      <c r="H29" s="109">
        <v>380</v>
      </c>
      <c r="I29" s="110" t="b">
        <v>1</v>
      </c>
      <c r="J29" s="111">
        <v>76.010000000000005</v>
      </c>
      <c r="K29" s="111">
        <v>303.99</v>
      </c>
      <c r="L29" s="181"/>
      <c r="M29" s="108">
        <v>45944</v>
      </c>
      <c r="N29" s="107">
        <v>136626933</v>
      </c>
      <c r="O29" s="105"/>
      <c r="P29" s="107"/>
      <c r="Q29" s="105"/>
      <c r="R29" s="107"/>
      <c r="S29" s="112"/>
    </row>
    <row r="30" spans="2:19" ht="21.75" customHeight="1">
      <c r="B30" s="178" t="s">
        <v>172</v>
      </c>
      <c r="C30" s="97" t="s">
        <v>173</v>
      </c>
      <c r="D30" s="97" t="s">
        <v>210</v>
      </c>
      <c r="E30" s="98" t="s">
        <v>211</v>
      </c>
      <c r="F30" s="99" t="s">
        <v>64</v>
      </c>
      <c r="G30" s="100">
        <v>45930</v>
      </c>
      <c r="H30" s="101">
        <v>1600</v>
      </c>
      <c r="I30" s="102" t="b">
        <v>1</v>
      </c>
      <c r="J30" s="103">
        <v>0</v>
      </c>
      <c r="K30" s="103">
        <v>1600</v>
      </c>
      <c r="L30" s="179"/>
      <c r="M30" s="100">
        <v>45944</v>
      </c>
      <c r="N30" s="99">
        <v>136627020</v>
      </c>
      <c r="O30" s="97"/>
      <c r="P30" s="99"/>
      <c r="Q30" s="97"/>
      <c r="R30" s="99"/>
      <c r="S30" s="104"/>
    </row>
    <row r="31" spans="2:19" ht="21.75" customHeight="1">
      <c r="B31" s="180" t="s">
        <v>172</v>
      </c>
      <c r="C31" s="105" t="s">
        <v>180</v>
      </c>
      <c r="D31" s="105" t="s">
        <v>213</v>
      </c>
      <c r="E31" s="106" t="s">
        <v>182</v>
      </c>
      <c r="F31" s="107" t="s">
        <v>71</v>
      </c>
      <c r="G31" s="108">
        <v>45863</v>
      </c>
      <c r="H31" s="109">
        <v>19800</v>
      </c>
      <c r="I31" s="110" t="b">
        <v>1</v>
      </c>
      <c r="J31" s="111">
        <v>-0.04</v>
      </c>
      <c r="K31" s="111">
        <v>19800.04</v>
      </c>
      <c r="L31" s="181"/>
      <c r="M31" s="108">
        <v>45979</v>
      </c>
      <c r="N31" s="107">
        <v>136002723</v>
      </c>
      <c r="O31" s="105"/>
      <c r="P31" s="107"/>
      <c r="Q31" s="105"/>
      <c r="R31" s="107"/>
      <c r="S31" s="112"/>
    </row>
    <row r="32" spans="2:19" ht="21.75" customHeight="1">
      <c r="B32" s="182" t="s">
        <v>214</v>
      </c>
      <c r="C32" s="97" t="s">
        <v>188</v>
      </c>
      <c r="D32" s="97" t="s">
        <v>215</v>
      </c>
      <c r="E32" s="98" t="s">
        <v>216</v>
      </c>
      <c r="F32" s="99" t="s">
        <v>64</v>
      </c>
      <c r="G32" s="100">
        <v>45940</v>
      </c>
      <c r="H32" s="101">
        <v>500</v>
      </c>
      <c r="I32" s="102" t="b">
        <v>1</v>
      </c>
      <c r="J32" s="103">
        <v>99.97</v>
      </c>
      <c r="K32" s="103">
        <v>400.03</v>
      </c>
      <c r="L32" s="179"/>
      <c r="M32" s="100">
        <v>45988</v>
      </c>
      <c r="N32" s="99">
        <v>136785632</v>
      </c>
      <c r="O32" s="97"/>
      <c r="P32" s="99"/>
      <c r="Q32" s="97"/>
      <c r="R32" s="99"/>
      <c r="S32" s="104"/>
    </row>
    <row r="33" spans="2:19" ht="21.75" customHeight="1">
      <c r="B33" s="180" t="s">
        <v>172</v>
      </c>
      <c r="C33" s="105" t="s">
        <v>188</v>
      </c>
      <c r="D33" s="105" t="s">
        <v>215</v>
      </c>
      <c r="E33" s="106" t="s">
        <v>216</v>
      </c>
      <c r="F33" s="107" t="s">
        <v>64</v>
      </c>
      <c r="G33" s="108">
        <v>45940</v>
      </c>
      <c r="H33" s="109">
        <v>450</v>
      </c>
      <c r="I33" s="110" t="b">
        <v>1</v>
      </c>
      <c r="J33" s="111">
        <v>90</v>
      </c>
      <c r="K33" s="111">
        <v>360</v>
      </c>
      <c r="L33" s="181" t="s">
        <v>217</v>
      </c>
      <c r="M33" s="108">
        <v>45988</v>
      </c>
      <c r="N33" s="107">
        <v>136785637</v>
      </c>
      <c r="O33" s="105"/>
      <c r="P33" s="107"/>
      <c r="Q33" s="105"/>
      <c r="R33" s="107"/>
      <c r="S33" s="112"/>
    </row>
    <row r="34" spans="2:19" ht="21.75" customHeight="1">
      <c r="B34" s="178" t="s">
        <v>172</v>
      </c>
      <c r="C34" s="97" t="s">
        <v>183</v>
      </c>
      <c r="D34" s="97" t="s">
        <v>218</v>
      </c>
      <c r="E34" s="98" t="s">
        <v>219</v>
      </c>
      <c r="F34" s="99" t="s">
        <v>64</v>
      </c>
      <c r="G34" s="100">
        <v>45965</v>
      </c>
      <c r="H34" s="101">
        <v>800</v>
      </c>
      <c r="I34" s="102" t="b">
        <v>1</v>
      </c>
      <c r="J34" s="103">
        <v>-0.02</v>
      </c>
      <c r="K34" s="103">
        <v>800.02</v>
      </c>
      <c r="L34" s="179"/>
      <c r="M34" s="100">
        <v>45988</v>
      </c>
      <c r="N34" s="99">
        <v>137073548</v>
      </c>
      <c r="O34" s="97"/>
      <c r="P34" s="99"/>
      <c r="Q34" s="97"/>
      <c r="R34" s="99"/>
      <c r="S34" s="104"/>
    </row>
    <row r="35" spans="2:19" ht="21.75" customHeight="1">
      <c r="B35" s="180" t="s">
        <v>172</v>
      </c>
      <c r="C35" s="105" t="s">
        <v>173</v>
      </c>
      <c r="D35" s="105" t="s">
        <v>220</v>
      </c>
      <c r="E35" s="106" t="s">
        <v>221</v>
      </c>
      <c r="F35" s="107" t="s">
        <v>64</v>
      </c>
      <c r="G35" s="108">
        <v>45818</v>
      </c>
      <c r="H35" s="109">
        <v>576.05999999999995</v>
      </c>
      <c r="I35" s="110" t="b">
        <v>0</v>
      </c>
      <c r="J35" s="111">
        <v>576</v>
      </c>
      <c r="K35" s="111">
        <v>0.06</v>
      </c>
      <c r="L35" s="181" t="s">
        <v>189</v>
      </c>
      <c r="M35" s="108">
        <v>45988</v>
      </c>
      <c r="N35" s="107">
        <v>137073552</v>
      </c>
      <c r="O35" s="105"/>
      <c r="P35" s="107"/>
      <c r="Q35" s="105"/>
      <c r="R35" s="107"/>
      <c r="S35" s="112"/>
    </row>
    <row r="36" spans="2:19" ht="21.75" customHeight="1">
      <c r="B36" s="178" t="s">
        <v>172</v>
      </c>
      <c r="C36" s="97" t="s">
        <v>173</v>
      </c>
      <c r="D36" s="97" t="s">
        <v>220</v>
      </c>
      <c r="E36" s="98" t="s">
        <v>222</v>
      </c>
      <c r="F36" s="99" t="s">
        <v>64</v>
      </c>
      <c r="G36" s="100">
        <v>45848</v>
      </c>
      <c r="H36" s="101">
        <v>1107.6300000000001</v>
      </c>
      <c r="I36" s="102" t="b">
        <v>1</v>
      </c>
      <c r="J36" s="103">
        <v>221.51</v>
      </c>
      <c r="K36" s="103">
        <v>886.12</v>
      </c>
      <c r="L36" s="179"/>
      <c r="M36" s="100">
        <v>45988</v>
      </c>
      <c r="N36" s="99">
        <v>137073556</v>
      </c>
      <c r="O36" s="97"/>
      <c r="P36" s="99"/>
      <c r="Q36" s="97"/>
      <c r="R36" s="99"/>
      <c r="S36" s="104"/>
    </row>
    <row r="37" spans="2:19" ht="21.75" customHeight="1">
      <c r="B37" s="180" t="s">
        <v>172</v>
      </c>
      <c r="C37" s="105" t="s">
        <v>173</v>
      </c>
      <c r="D37" s="105" t="s">
        <v>210</v>
      </c>
      <c r="E37" s="106" t="s">
        <v>211</v>
      </c>
      <c r="F37" s="107" t="s">
        <v>64</v>
      </c>
      <c r="G37" s="108">
        <v>45961</v>
      </c>
      <c r="H37" s="109">
        <v>3200</v>
      </c>
      <c r="I37" s="110" t="b">
        <v>1</v>
      </c>
      <c r="J37" s="111">
        <v>0.02</v>
      </c>
      <c r="K37" s="111">
        <v>3199.98</v>
      </c>
      <c r="L37" s="181" t="s">
        <v>223</v>
      </c>
      <c r="M37" s="108">
        <v>45988</v>
      </c>
      <c r="N37" s="107">
        <v>137073557</v>
      </c>
      <c r="O37" s="105"/>
      <c r="P37" s="107"/>
      <c r="Q37" s="105"/>
      <c r="R37" s="107"/>
      <c r="S37" s="112"/>
    </row>
    <row r="38" spans="2:19" ht="21.75" customHeight="1">
      <c r="B38" s="178" t="s">
        <v>172</v>
      </c>
      <c r="C38" s="97" t="s">
        <v>180</v>
      </c>
      <c r="D38" s="97" t="s">
        <v>208</v>
      </c>
      <c r="E38" s="98" t="s">
        <v>175</v>
      </c>
      <c r="F38" s="99" t="s">
        <v>64</v>
      </c>
      <c r="G38" s="100">
        <v>45931</v>
      </c>
      <c r="H38" s="101">
        <v>688</v>
      </c>
      <c r="I38" s="102" t="b">
        <v>1</v>
      </c>
      <c r="J38" s="103">
        <v>137.55000000000001</v>
      </c>
      <c r="K38" s="103">
        <v>550.45000000000005</v>
      </c>
      <c r="L38" s="179"/>
      <c r="M38" s="100">
        <v>45988</v>
      </c>
      <c r="N38" s="99">
        <v>137076305</v>
      </c>
      <c r="O38" s="97"/>
      <c r="P38" s="99"/>
      <c r="Q38" s="97"/>
      <c r="R38" s="99"/>
      <c r="S38" s="104"/>
    </row>
    <row r="39" spans="2:19" ht="21.75" customHeight="1">
      <c r="B39" s="183" t="s">
        <v>172</v>
      </c>
      <c r="C39" s="105" t="s">
        <v>180</v>
      </c>
      <c r="D39" s="105" t="s">
        <v>218</v>
      </c>
      <c r="E39" s="106" t="s">
        <v>219</v>
      </c>
      <c r="F39" s="107" t="s">
        <v>64</v>
      </c>
      <c r="G39" s="108">
        <v>45965</v>
      </c>
      <c r="H39" s="109">
        <v>800</v>
      </c>
      <c r="I39" s="110" t="b">
        <v>0</v>
      </c>
      <c r="J39" s="111">
        <v>799.95</v>
      </c>
      <c r="K39" s="111">
        <v>0.05</v>
      </c>
      <c r="L39" s="181"/>
      <c r="M39" s="108">
        <v>45988</v>
      </c>
      <c r="N39" s="107">
        <v>137076320</v>
      </c>
      <c r="O39" s="115" t="s">
        <v>224</v>
      </c>
      <c r="P39" s="107">
        <v>41073117</v>
      </c>
      <c r="Q39" s="105" t="s">
        <v>199</v>
      </c>
      <c r="R39" s="114" t="s">
        <v>225</v>
      </c>
      <c r="S39" s="112">
        <v>6344</v>
      </c>
    </row>
    <row r="40" spans="2:19" ht="21.75" customHeight="1">
      <c r="B40" s="182" t="s">
        <v>214</v>
      </c>
      <c r="C40" s="97" t="s">
        <v>180</v>
      </c>
      <c r="D40" s="97" t="s">
        <v>226</v>
      </c>
      <c r="E40" s="98" t="s">
        <v>219</v>
      </c>
      <c r="F40" s="99" t="s">
        <v>64</v>
      </c>
      <c r="G40" s="100">
        <v>45965</v>
      </c>
      <c r="H40" s="101">
        <v>800</v>
      </c>
      <c r="I40" s="102" t="b">
        <v>0</v>
      </c>
      <c r="J40" s="103"/>
      <c r="K40" s="103"/>
      <c r="L40" s="179"/>
      <c r="M40" s="100">
        <v>46271</v>
      </c>
      <c r="N40" s="99">
        <v>41073117</v>
      </c>
      <c r="O40" s="116" t="s">
        <v>224</v>
      </c>
      <c r="P40" s="99"/>
      <c r="Q40" s="97"/>
      <c r="R40" s="117" t="s">
        <v>227</v>
      </c>
      <c r="S40" s="104">
        <v>6344</v>
      </c>
    </row>
    <row r="41" spans="2:19" ht="21.75" customHeight="1">
      <c r="B41" s="184" t="s">
        <v>214</v>
      </c>
      <c r="C41" s="118" t="s">
        <v>180</v>
      </c>
      <c r="D41" s="118" t="s">
        <v>228</v>
      </c>
      <c r="E41" s="119" t="s">
        <v>196</v>
      </c>
      <c r="F41" s="120" t="s">
        <v>69</v>
      </c>
      <c r="G41" s="121">
        <v>45775</v>
      </c>
      <c r="H41" s="122">
        <v>850</v>
      </c>
      <c r="I41" s="123" t="b">
        <v>0</v>
      </c>
      <c r="J41" s="124"/>
      <c r="K41" s="124"/>
      <c r="L41" s="185"/>
      <c r="M41" s="121">
        <v>46182</v>
      </c>
      <c r="N41" s="120">
        <v>41072719</v>
      </c>
      <c r="O41" s="125" t="s">
        <v>229</v>
      </c>
      <c r="P41" s="120"/>
      <c r="Q41" s="118"/>
      <c r="R41" s="126" t="s">
        <v>227</v>
      </c>
      <c r="S41" s="127">
        <v>709</v>
      </c>
    </row>
    <row r="42" spans="2:19" ht="21.75" customHeight="1">
      <c r="B42" s="209">
        <v>2026</v>
      </c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1"/>
      <c r="N42" s="129"/>
      <c r="O42" s="130"/>
      <c r="P42" s="129"/>
      <c r="Q42" s="128"/>
      <c r="R42" s="129"/>
      <c r="S42" s="131"/>
    </row>
    <row r="43" spans="2:19" ht="21.75" customHeight="1">
      <c r="B43" s="182" t="s">
        <v>230</v>
      </c>
      <c r="C43" s="154" t="s">
        <v>231</v>
      </c>
      <c r="D43" s="97" t="s">
        <v>232</v>
      </c>
      <c r="E43" s="98" t="s">
        <v>233</v>
      </c>
      <c r="F43" s="150" t="s">
        <v>64</v>
      </c>
      <c r="G43" s="100">
        <v>46093</v>
      </c>
      <c r="H43" s="101">
        <v>500</v>
      </c>
      <c r="I43" s="102" t="b">
        <v>1</v>
      </c>
      <c r="J43" s="175" t="s">
        <v>234</v>
      </c>
      <c r="K43" s="175" t="s">
        <v>235</v>
      </c>
      <c r="L43" s="191"/>
      <c r="M43" s="172" t="s">
        <v>236</v>
      </c>
      <c r="N43" s="171">
        <v>138499716</v>
      </c>
      <c r="O43" s="159"/>
      <c r="P43" s="154"/>
      <c r="Q43" s="154"/>
      <c r="R43" s="150"/>
      <c r="S43" s="166"/>
    </row>
    <row r="44" spans="2:19" ht="21.75" customHeight="1">
      <c r="B44" s="182" t="s">
        <v>230</v>
      </c>
      <c r="C44" s="97" t="s">
        <v>173</v>
      </c>
      <c r="D44" s="97" t="s">
        <v>237</v>
      </c>
      <c r="E44" s="98" t="s">
        <v>238</v>
      </c>
      <c r="F44" s="99" t="s">
        <v>64</v>
      </c>
      <c r="G44" s="100">
        <v>45942</v>
      </c>
      <c r="H44" s="101">
        <v>520</v>
      </c>
      <c r="I44" s="102" t="b">
        <v>1</v>
      </c>
      <c r="J44" s="111" t="s">
        <v>239</v>
      </c>
      <c r="K44" s="111" t="s">
        <v>240</v>
      </c>
      <c r="L44" s="181"/>
      <c r="M44" s="108" t="s">
        <v>236</v>
      </c>
      <c r="N44" s="107">
        <v>136807011</v>
      </c>
      <c r="O44" s="168"/>
      <c r="P44" s="97"/>
      <c r="Q44" s="97"/>
      <c r="R44" s="99"/>
      <c r="S44" s="104"/>
    </row>
    <row r="45" spans="2:19" ht="21.75" customHeight="1">
      <c r="B45" s="198" t="s">
        <v>230</v>
      </c>
      <c r="C45" s="105" t="s">
        <v>180</v>
      </c>
      <c r="D45" s="105" t="s">
        <v>241</v>
      </c>
      <c r="E45" s="106" t="s">
        <v>242</v>
      </c>
      <c r="F45" s="107" t="s">
        <v>243</v>
      </c>
      <c r="G45" s="108">
        <v>45913</v>
      </c>
      <c r="H45" s="109">
        <v>788</v>
      </c>
      <c r="I45" s="110" t="b">
        <v>1</v>
      </c>
      <c r="J45" s="175" t="s">
        <v>244</v>
      </c>
      <c r="K45" s="175" t="s">
        <v>245</v>
      </c>
      <c r="L45" s="191"/>
      <c r="M45" s="172" t="s">
        <v>236</v>
      </c>
      <c r="N45" s="171">
        <v>136697081</v>
      </c>
      <c r="O45" s="167"/>
      <c r="P45" s="105"/>
      <c r="Q45" s="105"/>
      <c r="R45" s="107"/>
      <c r="S45" s="112"/>
    </row>
    <row r="46" spans="2:19" ht="21.75" customHeight="1">
      <c r="B46" s="182" t="s">
        <v>230</v>
      </c>
      <c r="C46" s="169" t="s">
        <v>173</v>
      </c>
      <c r="D46" s="169" t="s">
        <v>237</v>
      </c>
      <c r="E46" s="170" t="s">
        <v>238</v>
      </c>
      <c r="F46" s="171" t="s">
        <v>64</v>
      </c>
      <c r="G46" s="172">
        <v>45928</v>
      </c>
      <c r="H46" s="173">
        <v>290</v>
      </c>
      <c r="I46" s="174" t="b">
        <v>1</v>
      </c>
      <c r="J46" s="111" t="s">
        <v>246</v>
      </c>
      <c r="K46" s="111" t="s">
        <v>247</v>
      </c>
      <c r="L46" s="181"/>
      <c r="M46" s="108" t="s">
        <v>236</v>
      </c>
      <c r="N46" s="107">
        <v>136626864</v>
      </c>
      <c r="O46" s="176"/>
      <c r="P46" s="169"/>
      <c r="Q46" s="169"/>
      <c r="R46" s="171"/>
      <c r="S46" s="177"/>
    </row>
    <row r="47" spans="2:19">
      <c r="B47" s="198" t="s">
        <v>230</v>
      </c>
      <c r="C47" s="105" t="s">
        <v>173</v>
      </c>
      <c r="D47" s="105" t="s">
        <v>248</v>
      </c>
      <c r="E47" s="201">
        <v>61585865181865</v>
      </c>
      <c r="F47" s="107" t="s">
        <v>249</v>
      </c>
      <c r="G47" s="108">
        <v>46002</v>
      </c>
      <c r="H47" s="109" t="s">
        <v>250</v>
      </c>
      <c r="I47" s="110" t="b">
        <v>0</v>
      </c>
      <c r="J47" s="111" t="s">
        <v>251</v>
      </c>
      <c r="K47" s="111" t="s">
        <v>252</v>
      </c>
      <c r="L47" s="181" t="s">
        <v>253</v>
      </c>
      <c r="M47" s="108" t="s">
        <v>254</v>
      </c>
      <c r="N47" s="107">
        <v>137439195</v>
      </c>
      <c r="O47" s="167"/>
      <c r="P47" s="105"/>
      <c r="Q47" s="105"/>
      <c r="R47" s="107"/>
      <c r="S47" s="112"/>
    </row>
    <row r="48" spans="2:19">
      <c r="B48" s="182" t="s">
        <v>230</v>
      </c>
      <c r="C48" s="169" t="s">
        <v>255</v>
      </c>
      <c r="D48" s="169" t="s">
        <v>256</v>
      </c>
      <c r="E48" s="202">
        <v>11284472825</v>
      </c>
      <c r="F48" s="171" t="s">
        <v>257</v>
      </c>
      <c r="G48" s="172">
        <v>45964</v>
      </c>
      <c r="H48" s="173">
        <v>680</v>
      </c>
      <c r="I48" s="174" t="b">
        <v>1</v>
      </c>
      <c r="J48" s="175" t="s">
        <v>258</v>
      </c>
      <c r="K48" s="175" t="s">
        <v>259</v>
      </c>
      <c r="L48" s="191" t="s">
        <v>260</v>
      </c>
      <c r="M48" s="172" t="s">
        <v>254</v>
      </c>
      <c r="N48" s="171">
        <v>137439216</v>
      </c>
      <c r="O48" s="176"/>
      <c r="P48" s="169"/>
      <c r="Q48" s="169"/>
      <c r="R48" s="171"/>
      <c r="S48" s="177"/>
    </row>
    <row r="49" spans="1:19">
      <c r="A49" s="203"/>
      <c r="B49" s="198" t="s">
        <v>230</v>
      </c>
      <c r="C49" s="105" t="s">
        <v>255</v>
      </c>
      <c r="D49" s="105" t="s">
        <v>261</v>
      </c>
      <c r="E49" s="201">
        <v>37239181000113</v>
      </c>
      <c r="F49" s="107" t="s">
        <v>257</v>
      </c>
      <c r="G49" s="108">
        <v>45993</v>
      </c>
      <c r="H49" s="109">
        <v>580</v>
      </c>
      <c r="I49" s="110" t="b">
        <v>1</v>
      </c>
      <c r="J49" s="111" t="s">
        <v>262</v>
      </c>
      <c r="K49" s="111" t="s">
        <v>263</v>
      </c>
      <c r="L49" s="181" t="s">
        <v>264</v>
      </c>
      <c r="M49" s="108" t="s">
        <v>254</v>
      </c>
      <c r="N49" s="107">
        <v>137677741</v>
      </c>
      <c r="O49" s="167"/>
      <c r="P49" s="105"/>
      <c r="Q49" s="105"/>
      <c r="R49" s="107"/>
      <c r="S49" s="112"/>
    </row>
    <row r="50" spans="1:19">
      <c r="A50" s="203"/>
      <c r="B50" s="182" t="s">
        <v>230</v>
      </c>
      <c r="C50" s="169" t="s">
        <v>173</v>
      </c>
      <c r="D50" s="169" t="s">
        <v>265</v>
      </c>
      <c r="E50" s="202">
        <v>61412110039795</v>
      </c>
      <c r="F50" s="171" t="s">
        <v>249</v>
      </c>
      <c r="G50" s="172">
        <v>46021</v>
      </c>
      <c r="H50" s="173" t="s">
        <v>266</v>
      </c>
      <c r="I50" s="174" t="b">
        <v>1</v>
      </c>
      <c r="J50" s="175" t="s">
        <v>267</v>
      </c>
      <c r="K50" s="175" t="s">
        <v>268</v>
      </c>
      <c r="L50" s="191" t="s">
        <v>269</v>
      </c>
      <c r="M50" s="172" t="s">
        <v>254</v>
      </c>
      <c r="N50" s="171">
        <v>137677747</v>
      </c>
      <c r="O50" s="176"/>
      <c r="P50" s="169"/>
      <c r="Q50" s="169"/>
      <c r="R50" s="171"/>
      <c r="S50" s="177"/>
    </row>
    <row r="51" spans="1:19">
      <c r="A51" s="203"/>
      <c r="B51" s="198" t="s">
        <v>230</v>
      </c>
      <c r="C51" s="105" t="s">
        <v>173</v>
      </c>
      <c r="D51" s="105" t="s">
        <v>270</v>
      </c>
      <c r="E51" s="201">
        <v>49361486000182</v>
      </c>
      <c r="F51" s="107" t="s">
        <v>257</v>
      </c>
      <c r="G51" s="108">
        <v>46030</v>
      </c>
      <c r="H51" s="109" t="s">
        <v>271</v>
      </c>
      <c r="I51" s="110" t="b">
        <v>1</v>
      </c>
      <c r="J51" s="111" t="s">
        <v>272</v>
      </c>
      <c r="K51" s="111" t="s">
        <v>273</v>
      </c>
      <c r="L51" s="181"/>
      <c r="M51" s="108" t="s">
        <v>254</v>
      </c>
      <c r="N51" s="107">
        <v>137714308</v>
      </c>
      <c r="O51" s="167"/>
      <c r="P51" s="105"/>
      <c r="Q51" s="105"/>
      <c r="R51" s="107"/>
      <c r="S51" s="112"/>
    </row>
    <row r="52" spans="1:19">
      <c r="A52" s="199" t="s">
        <v>274</v>
      </c>
      <c r="B52" s="182" t="s">
        <v>230</v>
      </c>
      <c r="C52" s="169" t="s">
        <v>180</v>
      </c>
      <c r="D52" s="169" t="s">
        <v>232</v>
      </c>
      <c r="E52" s="202">
        <v>41571578000185</v>
      </c>
      <c r="F52" s="171" t="s">
        <v>257</v>
      </c>
      <c r="G52" s="172">
        <v>46028</v>
      </c>
      <c r="H52" s="173">
        <v>800</v>
      </c>
      <c r="I52" s="174" t="b">
        <v>1</v>
      </c>
      <c r="J52" s="175" t="s">
        <v>275</v>
      </c>
      <c r="K52" s="175" t="s">
        <v>276</v>
      </c>
      <c r="L52" s="191"/>
      <c r="M52" s="172" t="s">
        <v>254</v>
      </c>
      <c r="N52" s="171">
        <v>137716152</v>
      </c>
      <c r="O52" s="176"/>
      <c r="P52" s="169"/>
      <c r="Q52" s="169"/>
      <c r="R52" s="171"/>
      <c r="S52" s="177"/>
    </row>
    <row r="53" spans="1:19">
      <c r="A53" s="199" t="s">
        <v>277</v>
      </c>
      <c r="B53" s="198" t="s">
        <v>230</v>
      </c>
      <c r="C53" s="105" t="s">
        <v>180</v>
      </c>
      <c r="D53" s="105" t="s">
        <v>278</v>
      </c>
      <c r="E53" s="201">
        <v>59648279000167</v>
      </c>
      <c r="F53" s="107" t="s">
        <v>257</v>
      </c>
      <c r="G53" s="108">
        <v>46057</v>
      </c>
      <c r="H53" s="109">
        <v>690</v>
      </c>
      <c r="I53" s="110" t="b">
        <v>1</v>
      </c>
      <c r="J53" s="111" t="s">
        <v>279</v>
      </c>
      <c r="K53" s="111" t="s">
        <v>280</v>
      </c>
      <c r="L53" s="181"/>
      <c r="M53" s="108" t="s">
        <v>281</v>
      </c>
      <c r="N53" s="107">
        <v>138019444</v>
      </c>
      <c r="O53" s="167"/>
      <c r="P53" s="105"/>
      <c r="Q53" s="105"/>
      <c r="R53" s="107"/>
      <c r="S53" s="112"/>
    </row>
    <row r="54" spans="1:19">
      <c r="A54" s="199" t="s">
        <v>282</v>
      </c>
      <c r="B54" s="182" t="s">
        <v>230</v>
      </c>
      <c r="C54" s="169" t="s">
        <v>255</v>
      </c>
      <c r="D54" s="169" t="s">
        <v>283</v>
      </c>
      <c r="E54" s="202">
        <v>27256578000321</v>
      </c>
      <c r="F54" s="171" t="s">
        <v>257</v>
      </c>
      <c r="G54" s="172">
        <v>46058</v>
      </c>
      <c r="H54" s="173">
        <v>48</v>
      </c>
      <c r="I54" s="174" t="b">
        <v>0</v>
      </c>
      <c r="J54" s="175" t="s">
        <v>284</v>
      </c>
      <c r="K54" s="175" t="s">
        <v>285</v>
      </c>
      <c r="L54" s="191"/>
      <c r="M54" s="172" t="s">
        <v>281</v>
      </c>
      <c r="N54" s="171">
        <v>138019449</v>
      </c>
      <c r="O54" s="176"/>
      <c r="P54" s="169"/>
      <c r="Q54" s="169"/>
      <c r="R54" s="171"/>
      <c r="S54" s="177"/>
    </row>
    <row r="55" spans="1:19">
      <c r="A55" s="203"/>
      <c r="B55" s="198" t="s">
        <v>230</v>
      </c>
      <c r="C55" s="105" t="s">
        <v>173</v>
      </c>
      <c r="D55" s="105" t="s">
        <v>270</v>
      </c>
      <c r="E55" s="201">
        <v>49361486000182</v>
      </c>
      <c r="F55" s="107" t="s">
        <v>257</v>
      </c>
      <c r="G55" s="108">
        <v>46052</v>
      </c>
      <c r="H55" s="109" t="s">
        <v>286</v>
      </c>
      <c r="I55" s="110" t="b">
        <v>1</v>
      </c>
      <c r="J55" s="111">
        <v>0</v>
      </c>
      <c r="K55" s="111" t="s">
        <v>286</v>
      </c>
      <c r="L55" s="181" t="s">
        <v>260</v>
      </c>
      <c r="M55" s="108" t="s">
        <v>281</v>
      </c>
      <c r="N55" s="107">
        <v>138032224</v>
      </c>
      <c r="O55" s="167"/>
      <c r="P55" s="105"/>
      <c r="Q55" s="105"/>
      <c r="R55" s="107"/>
      <c r="S55" s="112"/>
    </row>
    <row r="56" spans="1:19" ht="40.5">
      <c r="A56" s="203"/>
      <c r="B56" s="182" t="s">
        <v>230</v>
      </c>
      <c r="C56" s="169" t="s">
        <v>173</v>
      </c>
      <c r="D56" s="169" t="s">
        <v>287</v>
      </c>
      <c r="E56" s="202">
        <v>50706896000105</v>
      </c>
      <c r="F56" s="171" t="s">
        <v>257</v>
      </c>
      <c r="G56" s="172">
        <v>46093</v>
      </c>
      <c r="H56" s="173" t="s">
        <v>288</v>
      </c>
      <c r="I56" s="174" t="b">
        <v>0</v>
      </c>
      <c r="J56" s="175" t="s">
        <v>288</v>
      </c>
      <c r="K56" s="175" t="s">
        <v>289</v>
      </c>
      <c r="L56" s="191"/>
      <c r="M56" s="172" t="s">
        <v>290</v>
      </c>
      <c r="N56" s="171">
        <v>138490165</v>
      </c>
      <c r="O56" s="176"/>
      <c r="P56" s="169"/>
      <c r="Q56" s="169"/>
      <c r="R56" s="171"/>
      <c r="S56" s="177"/>
    </row>
    <row r="57" spans="1:19" ht="40.5">
      <c r="A57" s="203"/>
      <c r="B57" s="198" t="s">
        <v>230</v>
      </c>
      <c r="C57" s="105" t="s">
        <v>173</v>
      </c>
      <c r="D57" s="105" t="s">
        <v>291</v>
      </c>
      <c r="E57" s="201">
        <v>60765823001292</v>
      </c>
      <c r="F57" s="107" t="s">
        <v>257</v>
      </c>
      <c r="G57" s="108">
        <v>45903</v>
      </c>
      <c r="H57" s="109" t="s">
        <v>292</v>
      </c>
      <c r="I57" s="110" t="b">
        <v>0</v>
      </c>
      <c r="J57" s="111" t="s">
        <v>292</v>
      </c>
      <c r="K57" s="111" t="s">
        <v>289</v>
      </c>
      <c r="L57" s="181" t="s">
        <v>293</v>
      </c>
      <c r="M57" s="108" t="s">
        <v>236</v>
      </c>
      <c r="N57" s="107">
        <v>137061449</v>
      </c>
      <c r="O57" s="167"/>
      <c r="P57" s="105"/>
      <c r="Q57" s="105"/>
      <c r="R57" s="107"/>
      <c r="S57" s="112"/>
    </row>
    <row r="58" spans="1:19" ht="40.5">
      <c r="A58" s="203"/>
      <c r="B58" s="182" t="s">
        <v>230</v>
      </c>
      <c r="C58" s="169" t="s">
        <v>173</v>
      </c>
      <c r="D58" s="169" t="s">
        <v>294</v>
      </c>
      <c r="E58" s="202">
        <v>54111192000132</v>
      </c>
      <c r="F58" s="171" t="s">
        <v>257</v>
      </c>
      <c r="G58" s="172">
        <v>46052</v>
      </c>
      <c r="H58" s="173">
        <v>840</v>
      </c>
      <c r="I58" s="174" t="b">
        <v>1</v>
      </c>
      <c r="J58" s="175" t="s">
        <v>295</v>
      </c>
      <c r="K58" s="175" t="s">
        <v>296</v>
      </c>
      <c r="L58" s="191"/>
      <c r="M58" s="172" t="s">
        <v>236</v>
      </c>
      <c r="N58" s="171">
        <v>138032266</v>
      </c>
      <c r="O58" s="176"/>
      <c r="P58" s="169"/>
      <c r="Q58" s="169"/>
      <c r="R58" s="171"/>
      <c r="S58" s="177"/>
    </row>
    <row r="59" spans="1:19" s="197" customFormat="1" ht="21.75" customHeight="1">
      <c r="B59" s="186" t="s">
        <v>214</v>
      </c>
      <c r="C59" s="132" t="s">
        <v>297</v>
      </c>
      <c r="D59" s="132" t="s">
        <v>298</v>
      </c>
      <c r="E59" s="133" t="s">
        <v>202</v>
      </c>
      <c r="F59" s="134" t="s">
        <v>69</v>
      </c>
      <c r="G59" s="135" t="s">
        <v>299</v>
      </c>
      <c r="H59" s="136">
        <v>700</v>
      </c>
      <c r="I59" s="137" t="b">
        <v>0</v>
      </c>
      <c r="J59" s="138"/>
      <c r="K59" s="138"/>
      <c r="L59" s="187"/>
      <c r="M59" s="135"/>
      <c r="N59" s="134">
        <v>139159180</v>
      </c>
      <c r="O59" s="139" t="s">
        <v>300</v>
      </c>
      <c r="P59" s="134"/>
      <c r="Q59" s="132"/>
      <c r="R59" s="140" t="s">
        <v>227</v>
      </c>
      <c r="S59" s="141">
        <v>6540</v>
      </c>
    </row>
    <row r="60" spans="1:19" ht="21.75" customHeight="1">
      <c r="A60" s="203"/>
      <c r="B60" s="182" t="s">
        <v>214</v>
      </c>
      <c r="C60" s="97" t="s">
        <v>180</v>
      </c>
      <c r="D60" s="97" t="s">
        <v>232</v>
      </c>
      <c r="E60" s="98" t="s">
        <v>233</v>
      </c>
      <c r="F60" s="99" t="s">
        <v>64</v>
      </c>
      <c r="G60" s="100" t="s">
        <v>301</v>
      </c>
      <c r="H60" s="101">
        <v>800</v>
      </c>
      <c r="I60" s="102" t="b">
        <v>0</v>
      </c>
      <c r="J60" s="103"/>
      <c r="K60" s="103"/>
      <c r="L60" s="179"/>
      <c r="M60" s="100"/>
      <c r="N60" s="99">
        <v>41076491</v>
      </c>
      <c r="O60" s="142" t="s">
        <v>302</v>
      </c>
      <c r="P60" s="99"/>
      <c r="Q60" s="97"/>
      <c r="R60" s="117" t="s">
        <v>227</v>
      </c>
      <c r="S60" s="104">
        <v>6017</v>
      </c>
    </row>
    <row r="61" spans="1:19" ht="21.75" customHeight="1">
      <c r="A61" s="203"/>
      <c r="B61" s="188" t="s">
        <v>214</v>
      </c>
      <c r="C61" s="143" t="s">
        <v>297</v>
      </c>
      <c r="D61" s="143" t="s">
        <v>303</v>
      </c>
      <c r="E61" s="143" t="s">
        <v>304</v>
      </c>
      <c r="F61" s="144" t="s">
        <v>64</v>
      </c>
      <c r="G61" s="144" t="s">
        <v>305</v>
      </c>
      <c r="H61" s="145" t="s">
        <v>306</v>
      </c>
      <c r="I61" s="110" t="b">
        <v>0</v>
      </c>
      <c r="J61" s="146"/>
      <c r="K61" s="146"/>
      <c r="L61" s="189"/>
      <c r="M61" s="147"/>
      <c r="N61" s="147"/>
      <c r="O61" s="115" t="s">
        <v>307</v>
      </c>
      <c r="P61" s="147"/>
      <c r="Q61" s="143"/>
      <c r="R61" s="148" t="s">
        <v>227</v>
      </c>
      <c r="S61" s="149">
        <v>577</v>
      </c>
    </row>
    <row r="62" spans="1:19" ht="21.75" customHeight="1">
      <c r="A62" s="203"/>
      <c r="B62" s="182" t="s">
        <v>214</v>
      </c>
      <c r="C62" s="97" t="s">
        <v>183</v>
      </c>
      <c r="D62" s="97" t="s">
        <v>308</v>
      </c>
      <c r="E62" s="98" t="s">
        <v>309</v>
      </c>
      <c r="F62" s="150" t="s">
        <v>64</v>
      </c>
      <c r="G62" s="100">
        <v>46182</v>
      </c>
      <c r="H62" s="101">
        <v>700</v>
      </c>
      <c r="I62" s="102" t="b">
        <v>0</v>
      </c>
      <c r="J62" s="103"/>
      <c r="K62" s="103"/>
      <c r="L62" s="179"/>
      <c r="M62" s="100"/>
      <c r="N62" s="99">
        <v>41143425</v>
      </c>
      <c r="O62" s="142" t="s">
        <v>310</v>
      </c>
      <c r="P62" s="99"/>
      <c r="Q62" s="97"/>
      <c r="R62" s="117" t="s">
        <v>227</v>
      </c>
      <c r="S62" s="104">
        <v>33</v>
      </c>
    </row>
    <row r="63" spans="1:19" ht="21.75" customHeight="1">
      <c r="A63" s="203"/>
      <c r="B63" s="183" t="s">
        <v>214</v>
      </c>
      <c r="C63" s="143" t="s">
        <v>297</v>
      </c>
      <c r="D63" s="105" t="s">
        <v>232</v>
      </c>
      <c r="E63" s="106" t="s">
        <v>233</v>
      </c>
      <c r="F63" s="144" t="s">
        <v>64</v>
      </c>
      <c r="G63" s="108">
        <v>46093</v>
      </c>
      <c r="H63" s="109">
        <v>800</v>
      </c>
      <c r="I63" s="110" t="b">
        <v>1</v>
      </c>
      <c r="J63" s="175" t="s">
        <v>234</v>
      </c>
      <c r="K63" s="175" t="s">
        <v>311</v>
      </c>
      <c r="L63" s="191"/>
      <c r="M63" s="172" t="s">
        <v>236</v>
      </c>
      <c r="N63" s="171">
        <v>138490297</v>
      </c>
      <c r="O63" s="151" t="s">
        <v>312</v>
      </c>
      <c r="P63" s="107"/>
      <c r="Q63" s="105"/>
      <c r="R63" s="148" t="s">
        <v>227</v>
      </c>
      <c r="S63" s="112">
        <v>5836</v>
      </c>
    </row>
    <row r="64" spans="1:19" ht="21.75" customHeight="1">
      <c r="A64" s="203"/>
      <c r="B64" s="182" t="s">
        <v>214</v>
      </c>
      <c r="C64" s="97" t="s">
        <v>183</v>
      </c>
      <c r="D64" s="97" t="s">
        <v>232</v>
      </c>
      <c r="E64" s="98" t="s">
        <v>233</v>
      </c>
      <c r="F64" s="150" t="s">
        <v>64</v>
      </c>
      <c r="G64" s="100">
        <v>46093</v>
      </c>
      <c r="H64" s="101">
        <v>800</v>
      </c>
      <c r="I64" s="102" t="b">
        <v>1</v>
      </c>
      <c r="J64" s="111" t="s">
        <v>234</v>
      </c>
      <c r="K64" s="111" t="s">
        <v>311</v>
      </c>
      <c r="L64" s="181"/>
      <c r="M64" s="108" t="s">
        <v>236</v>
      </c>
      <c r="N64" s="107">
        <v>138492683</v>
      </c>
      <c r="O64" s="142" t="s">
        <v>313</v>
      </c>
      <c r="P64" s="152" t="s">
        <v>314</v>
      </c>
      <c r="Q64" s="97"/>
      <c r="R64" s="117" t="s">
        <v>227</v>
      </c>
      <c r="S64" s="104">
        <v>5835</v>
      </c>
    </row>
    <row r="65" spans="1:19" ht="21.75" customHeight="1">
      <c r="A65" s="203"/>
      <c r="B65" s="183" t="s">
        <v>214</v>
      </c>
      <c r="C65" s="105" t="s">
        <v>173</v>
      </c>
      <c r="D65" s="105" t="s">
        <v>315</v>
      </c>
      <c r="E65" s="106" t="s">
        <v>316</v>
      </c>
      <c r="F65" s="144" t="s">
        <v>64</v>
      </c>
      <c r="G65" s="108">
        <v>46181</v>
      </c>
      <c r="H65" s="109">
        <v>766.9</v>
      </c>
      <c r="I65" s="110" t="b">
        <v>0</v>
      </c>
      <c r="J65" s="111"/>
      <c r="K65" s="111"/>
      <c r="L65" s="181"/>
      <c r="M65" s="108"/>
      <c r="N65" s="107">
        <v>41142914</v>
      </c>
      <c r="O65" s="151" t="s">
        <v>317</v>
      </c>
      <c r="P65" s="153" t="s">
        <v>318</v>
      </c>
      <c r="Q65" s="105"/>
      <c r="R65" s="148" t="s">
        <v>227</v>
      </c>
      <c r="S65" s="112">
        <v>17553</v>
      </c>
    </row>
    <row r="66" spans="1:19" ht="21.75" customHeight="1">
      <c r="A66" s="203"/>
      <c r="B66" s="182" t="s">
        <v>230</v>
      </c>
      <c r="C66" s="154" t="s">
        <v>173</v>
      </c>
      <c r="D66" s="154" t="s">
        <v>319</v>
      </c>
      <c r="E66" s="155" t="s">
        <v>320</v>
      </c>
      <c r="F66" s="150" t="s">
        <v>321</v>
      </c>
      <c r="G66" s="156">
        <v>46176</v>
      </c>
      <c r="H66" s="157">
        <v>398.31</v>
      </c>
      <c r="I66" s="102" t="b">
        <v>0</v>
      </c>
      <c r="J66" s="158"/>
      <c r="K66" s="158"/>
      <c r="L66" s="190"/>
      <c r="M66" s="156"/>
      <c r="N66" s="150">
        <v>41148268</v>
      </c>
      <c r="O66" s="159" t="s">
        <v>322</v>
      </c>
      <c r="P66" s="160" t="s">
        <v>323</v>
      </c>
      <c r="Q66" s="97" t="s">
        <v>324</v>
      </c>
      <c r="R66" s="117" t="s">
        <v>227</v>
      </c>
      <c r="S66" s="104">
        <v>28083</v>
      </c>
    </row>
    <row r="67" spans="1:19" ht="21.75" customHeight="1">
      <c r="A67" s="203"/>
      <c r="B67" s="198" t="s">
        <v>230</v>
      </c>
      <c r="C67" s="143" t="s">
        <v>231</v>
      </c>
      <c r="D67" s="143" t="s">
        <v>325</v>
      </c>
      <c r="E67" s="161" t="s">
        <v>326</v>
      </c>
      <c r="F67" s="144" t="s">
        <v>64</v>
      </c>
      <c r="G67" s="162">
        <v>46189</v>
      </c>
      <c r="H67" s="145">
        <v>800</v>
      </c>
      <c r="I67" s="110" t="b">
        <v>0</v>
      </c>
      <c r="J67" s="163"/>
      <c r="K67" s="163"/>
      <c r="L67" s="189"/>
      <c r="M67" s="162"/>
      <c r="N67" s="144">
        <v>41411330</v>
      </c>
      <c r="O67" s="164" t="s">
        <v>327</v>
      </c>
      <c r="P67" s="143"/>
      <c r="Q67" s="143"/>
      <c r="R67" s="144" t="s">
        <v>328</v>
      </c>
      <c r="S67" s="165">
        <v>1205</v>
      </c>
    </row>
    <row r="69" spans="1:19" ht="25.5">
      <c r="A69" s="199" t="s">
        <v>329</v>
      </c>
      <c r="B69" s="203"/>
      <c r="C69" s="200" t="s">
        <v>330</v>
      </c>
      <c r="D69" s="203" t="s">
        <v>331</v>
      </c>
      <c r="E69" s="203"/>
      <c r="F69" s="203" t="s">
        <v>332</v>
      </c>
      <c r="G69" s="196">
        <v>46297</v>
      </c>
      <c r="H69" s="195">
        <v>270</v>
      </c>
      <c r="I69" s="203"/>
      <c r="J69" s="203"/>
      <c r="K69" s="203"/>
      <c r="L69" s="203"/>
      <c r="M69" s="203"/>
      <c r="N69" s="203">
        <v>137973185</v>
      </c>
      <c r="O69" s="203"/>
      <c r="P69" s="203"/>
      <c r="Q69" s="203"/>
      <c r="R69" s="203"/>
      <c r="S69" s="203"/>
    </row>
  </sheetData>
  <autoFilter ref="B1:S55" xr:uid="{00000000-0001-0000-0000-000000000000}"/>
  <mergeCells count="1">
    <mergeCell ref="B42:M42"/>
  </mergeCells>
  <conditionalFormatting sqref="I2:I41 I43:I67">
    <cfRule type="containsText" dxfId="4" priority="3" operator="containsText" text="VERDADEIRO">
      <formula>NOT(ISERROR(SEARCH("VERDADEIRO",I2)))</formula>
    </cfRule>
  </conditionalFormatting>
  <conditionalFormatting sqref="I2:I41 I43:I67">
    <cfRule type="containsText" dxfId="3" priority="4" operator="containsText" text="FALSO">
      <formula>NOT(ISERROR(SEARCH("FALSO",I2)))</formula>
    </cfRule>
  </conditionalFormatting>
  <conditionalFormatting sqref="R2:R67">
    <cfRule type="containsText" dxfId="2" priority="5" operator="containsText" text="aguardando">
      <formula>NOT(ISERROR(SEARCH("aguardando",R2)))</formula>
    </cfRule>
  </conditionalFormatting>
  <conditionalFormatting sqref="R2:R67">
    <cfRule type="containsText" dxfId="1" priority="6" operator="containsText" text="enviado">
      <formula>NOT(ISERROR(SEARCH("enviado",R2)))</formula>
    </cfRule>
  </conditionalFormatting>
  <conditionalFormatting sqref="N1:N1048576">
    <cfRule type="duplicateValues" dxfId="0" priority="1"/>
  </conditionalFormatting>
  <hyperlinks>
    <hyperlink ref="O15" r:id="rId1" display="https://1drv.ms/b/c/141e5f921a6b48d1/IQBZWaWL-Et9S6AJEEv6cgnQAUcWhnqYKeJwwdS-3UqZ9XQ?e=E0cSCr" xr:uid="{B872726B-BA82-4CCD-9B39-4E8485B92D57}"/>
    <hyperlink ref="O41" r:id="rId2" xr:uid="{BCD55353-AF87-4EA4-A0BC-B29D1387139E}"/>
    <hyperlink ref="O59" r:id="rId3" xr:uid="{A2E228B7-6093-489F-BA14-0EDAD75A6708}"/>
    <hyperlink ref="O39" r:id="rId4" xr:uid="{ACDCD767-C702-400F-90D4-FBAB4B47DC70}"/>
    <hyperlink ref="O40" r:id="rId5" xr:uid="{D05F9E81-31C5-4BCF-84C7-D4D046DC393A}"/>
    <hyperlink ref="O60" r:id="rId6" xr:uid="{31047BDF-ECF7-43AD-9C4F-CCAE77BD0DE1}"/>
    <hyperlink ref="O61" r:id="rId7" xr:uid="{74DF790E-47E7-4C70-A88D-52AE22161BF0}"/>
    <hyperlink ref="O62" r:id="rId8" xr:uid="{628F3865-B171-4167-B116-C3FE5AE95130}"/>
    <hyperlink ref="O63" r:id="rId9" xr:uid="{70FB533E-57ED-46BC-B1C8-A77B7AC0AB7F}"/>
    <hyperlink ref="O64" r:id="rId10" xr:uid="{74DDF140-3231-4875-A999-1F36DCC4CC48}"/>
    <hyperlink ref="O65" r:id="rId11" xr:uid="{F10994A8-ACF0-4C6A-8A1B-B3F5D4213EDD}"/>
    <hyperlink ref="O66" r:id="rId12" display="https://1drv.ms/b/c/141e5f921a6b48d1/IQCsb3x12yHKRKRs_7qQmdz7ATm0LuDX0kl_sq5Y_2Yuvws?e=rjDgav - " xr:uid="{78AB08DC-F8F7-4BB5-A253-D48E0F4AD245}"/>
    <hyperlink ref="O67" r:id="rId13" xr:uid="{952C07C1-7945-4C0F-BF13-E09BE5E815F4}"/>
    <hyperlink ref="P65" r:id="rId14" display="https://1drv.ms/b/c/141e5f921a6b48d1/IQD6evftI5mQT4tauc2bOibVAVBd9BvHuhaFpiJLoVNsTXs?e=44Ccgj" xr:uid="{2377AC21-FD57-4F13-94A7-790C63FC03F3}"/>
    <hyperlink ref="P66" r:id="rId15" display="https://1drv.ms/b/c/141e5f921a6b48d1/IQAiKcdEikCLRJRMQF1grKBuASG3szW6vWk1KfK2K3dQmzU?e=0pjrJX" xr:uid="{A07B7B5E-A1B1-44C8-9ADC-DFE4D8DF9E4A}"/>
    <hyperlink ref="A53" r:id="rId16" xr:uid="{71FBB795-98A4-48F5-B333-FB614AA45C72}"/>
    <hyperlink ref="A69" r:id="rId17" xr:uid="{782273E4-FC99-4F07-891A-D1B994393C4A}"/>
    <hyperlink ref="A54" r:id="rId18" xr:uid="{73D095BA-C87F-44A4-A513-8F3B04EE9ED8}"/>
    <hyperlink ref="A52" r:id="rId19" xr:uid="{919BB00E-B5C2-4E06-9606-2EC8735DD6D0}"/>
  </hyperlinks>
  <pageMargins left="0.7" right="0.7" top="0.75" bottom="0.75" header="0.3" footer="0.3"/>
  <pageSetup paperSize="9" scale="42" orientation="portrait" r:id="rId20"/>
  <colBreaks count="1" manualBreakCount="1">
    <brk id="11" max="52" man="1"/>
  </colBreaks>
  <legacy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84BE-845E-4BC2-B6DD-28D35BF30956}">
  <dimension ref="C1:K23"/>
  <sheetViews>
    <sheetView workbookViewId="0">
      <selection activeCell="E1" sqref="E1:E1048576"/>
    </sheetView>
  </sheetViews>
  <sheetFormatPr defaultRowHeight="12.75" customHeight="1"/>
  <cols>
    <col min="3" max="3" width="10.1640625" bestFit="1" customWidth="1"/>
    <col min="4" max="4" width="26" customWidth="1"/>
    <col min="5" max="5" width="16.1640625" customWidth="1"/>
    <col min="6" max="6" width="16.1640625" style="93" customWidth="1"/>
    <col min="9" max="9" width="9.33203125" customWidth="1"/>
  </cols>
  <sheetData>
    <row r="1" spans="3:11">
      <c r="C1" s="203"/>
      <c r="D1" s="203"/>
      <c r="E1" s="203"/>
      <c r="F1" s="203"/>
      <c r="G1" s="203"/>
      <c r="H1" s="203"/>
      <c r="I1" s="203"/>
      <c r="J1" s="203"/>
      <c r="K1" s="203"/>
    </row>
    <row r="2" spans="3:11">
      <c r="C2" s="203" t="s">
        <v>333</v>
      </c>
      <c r="D2" s="203"/>
      <c r="E2" s="203"/>
      <c r="F2" s="203"/>
      <c r="G2" s="203"/>
      <c r="H2" s="203" t="s">
        <v>334</v>
      </c>
      <c r="I2" s="203"/>
      <c r="J2" s="203"/>
      <c r="K2" s="203"/>
    </row>
    <row r="3" spans="3:11">
      <c r="C3" s="1">
        <v>46024</v>
      </c>
      <c r="D3" s="4">
        <v>3300.54</v>
      </c>
      <c r="E3" s="4">
        <v>6600.22</v>
      </c>
      <c r="F3" s="4"/>
      <c r="G3" s="203"/>
      <c r="H3" s="1">
        <v>46024</v>
      </c>
      <c r="I3" s="94">
        <v>4922</v>
      </c>
      <c r="J3" s="203">
        <v>4922</v>
      </c>
      <c r="K3" s="94">
        <f>SUM(J4+I3)</f>
        <v>9844</v>
      </c>
    </row>
    <row r="4" spans="3:11">
      <c r="C4" s="1">
        <v>46036</v>
      </c>
      <c r="D4" s="4">
        <v>946</v>
      </c>
      <c r="E4" s="4">
        <v>6600.22</v>
      </c>
      <c r="F4" s="4"/>
      <c r="G4" s="203"/>
      <c r="H4" s="1">
        <v>46036</v>
      </c>
      <c r="I4" s="94">
        <v>4922</v>
      </c>
      <c r="J4" s="203">
        <v>4922</v>
      </c>
      <c r="K4" s="94">
        <f t="shared" ref="K4:K22" si="0">SUM(J5+I4)</f>
        <v>9844</v>
      </c>
    </row>
    <row r="5" spans="3:11">
      <c r="C5" s="1">
        <v>46053</v>
      </c>
      <c r="D5" s="4">
        <v>118.36</v>
      </c>
      <c r="E5" s="4">
        <v>6600.22</v>
      </c>
      <c r="F5" s="4"/>
      <c r="G5" s="203"/>
      <c r="H5" s="1">
        <v>46053</v>
      </c>
      <c r="I5" s="94">
        <v>4922</v>
      </c>
      <c r="J5" s="203">
        <v>4922</v>
      </c>
      <c r="K5" s="94">
        <f t="shared" si="0"/>
        <v>9844</v>
      </c>
    </row>
    <row r="6" spans="3:11">
      <c r="C6" s="1">
        <v>46056</v>
      </c>
      <c r="D6" s="4">
        <v>6600.22</v>
      </c>
      <c r="E6" s="4">
        <v>6600.22</v>
      </c>
      <c r="F6" s="4"/>
      <c r="G6" s="203"/>
      <c r="H6" s="1">
        <v>46056</v>
      </c>
      <c r="I6" s="94">
        <v>4922</v>
      </c>
      <c r="J6" s="203">
        <v>4922</v>
      </c>
      <c r="K6" s="94">
        <f t="shared" si="0"/>
        <v>9844</v>
      </c>
    </row>
    <row r="7" spans="3:11">
      <c r="C7" s="1">
        <v>46086</v>
      </c>
      <c r="D7" s="4">
        <v>6663.84</v>
      </c>
      <c r="E7" s="4">
        <v>6600.22</v>
      </c>
      <c r="F7" s="4"/>
      <c r="G7" s="203"/>
      <c r="H7" s="1">
        <v>46086</v>
      </c>
      <c r="I7" s="94">
        <v>4922</v>
      </c>
      <c r="J7" s="203">
        <v>4922</v>
      </c>
      <c r="K7" s="94">
        <f t="shared" si="0"/>
        <v>9844</v>
      </c>
    </row>
    <row r="8" spans="3:11">
      <c r="C8" s="1">
        <v>46113</v>
      </c>
      <c r="D8" s="4">
        <v>6600.22</v>
      </c>
      <c r="E8" s="4">
        <v>6600.22</v>
      </c>
      <c r="F8" s="4"/>
      <c r="G8" s="203"/>
      <c r="H8" s="1">
        <v>46113</v>
      </c>
      <c r="I8" s="94">
        <v>4922</v>
      </c>
      <c r="J8" s="203">
        <v>4922</v>
      </c>
      <c r="K8" s="94">
        <f t="shared" si="0"/>
        <v>9844</v>
      </c>
    </row>
    <row r="9" spans="3:11">
      <c r="C9" s="1">
        <v>46144</v>
      </c>
      <c r="D9" s="4">
        <v>6600.22</v>
      </c>
      <c r="E9" s="4">
        <v>6600.22</v>
      </c>
      <c r="F9" s="4"/>
      <c r="G9" s="203"/>
      <c r="H9" s="1">
        <v>46144</v>
      </c>
      <c r="I9" s="94">
        <v>4922</v>
      </c>
      <c r="J9" s="203">
        <v>4922</v>
      </c>
      <c r="K9" s="94">
        <f t="shared" si="0"/>
        <v>9844</v>
      </c>
    </row>
    <row r="10" spans="3:11">
      <c r="C10" s="1">
        <v>46175</v>
      </c>
      <c r="D10" s="4">
        <v>6600.22</v>
      </c>
      <c r="E10" s="4">
        <v>6600.22</v>
      </c>
      <c r="F10" s="4"/>
      <c r="G10" s="203"/>
      <c r="H10" s="1">
        <v>46175</v>
      </c>
      <c r="I10" s="94">
        <v>4922</v>
      </c>
      <c r="J10" s="203">
        <v>4922</v>
      </c>
      <c r="K10" s="94">
        <f t="shared" si="0"/>
        <v>9844</v>
      </c>
    </row>
    <row r="11" spans="3:11">
      <c r="C11" s="1">
        <v>46186</v>
      </c>
      <c r="D11" s="4">
        <v>280</v>
      </c>
      <c r="E11" s="4">
        <v>6600.22</v>
      </c>
      <c r="F11" s="4"/>
      <c r="G11" s="203"/>
      <c r="H11" s="1">
        <v>46186</v>
      </c>
      <c r="I11" s="94">
        <v>4922</v>
      </c>
      <c r="J11" s="203">
        <v>4922</v>
      </c>
      <c r="K11" s="94">
        <f t="shared" si="0"/>
        <v>9844</v>
      </c>
    </row>
    <row r="12" spans="3:11">
      <c r="C12" s="1">
        <v>46190</v>
      </c>
      <c r="D12" s="4">
        <v>3365</v>
      </c>
      <c r="E12" s="4">
        <v>6600.22</v>
      </c>
      <c r="F12" s="4"/>
      <c r="G12" s="203"/>
      <c r="H12" s="1">
        <v>46190</v>
      </c>
      <c r="I12" s="94">
        <v>4922</v>
      </c>
      <c r="J12" s="203">
        <v>4922</v>
      </c>
      <c r="K12" s="94">
        <f t="shared" si="0"/>
        <v>9844</v>
      </c>
    </row>
    <row r="13" spans="3:11">
      <c r="C13" s="1">
        <v>46204</v>
      </c>
      <c r="D13" s="4">
        <v>6600.22</v>
      </c>
      <c r="E13" s="4">
        <v>6600.22</v>
      </c>
      <c r="F13" s="4"/>
      <c r="G13" s="203"/>
      <c r="H13" s="1">
        <v>46204</v>
      </c>
      <c r="I13" s="94">
        <v>4922</v>
      </c>
      <c r="J13" s="203">
        <v>4922</v>
      </c>
      <c r="K13" s="94">
        <f t="shared" si="0"/>
        <v>9844</v>
      </c>
    </row>
    <row r="14" spans="3:11">
      <c r="C14" s="1">
        <v>46233</v>
      </c>
      <c r="D14" s="4">
        <v>967.8</v>
      </c>
      <c r="E14" s="4">
        <v>6600.22</v>
      </c>
      <c r="F14" s="4"/>
      <c r="G14" s="203"/>
      <c r="H14" s="1">
        <v>46233</v>
      </c>
      <c r="I14" s="94">
        <v>4922</v>
      </c>
      <c r="J14" s="203">
        <v>4922</v>
      </c>
      <c r="K14" s="94">
        <f t="shared" si="0"/>
        <v>9844</v>
      </c>
    </row>
    <row r="15" spans="3:11">
      <c r="C15" s="1">
        <v>46235</v>
      </c>
      <c r="D15" s="4">
        <v>6600.22</v>
      </c>
      <c r="E15" s="4">
        <v>6600.22</v>
      </c>
      <c r="F15" s="4"/>
      <c r="G15" s="203"/>
      <c r="H15" s="1">
        <v>46235</v>
      </c>
      <c r="I15" s="94">
        <v>4922</v>
      </c>
      <c r="J15" s="203">
        <v>4922</v>
      </c>
      <c r="K15" s="94">
        <f t="shared" si="0"/>
        <v>9844</v>
      </c>
    </row>
    <row r="16" spans="3:11">
      <c r="C16" s="1">
        <v>46266</v>
      </c>
      <c r="D16" s="4">
        <v>6600.22</v>
      </c>
      <c r="E16" s="4">
        <v>6600.22</v>
      </c>
      <c r="F16" s="4"/>
      <c r="G16" s="203"/>
      <c r="H16" s="1">
        <v>46266</v>
      </c>
      <c r="I16" s="94">
        <v>4922</v>
      </c>
      <c r="J16" s="203">
        <v>4922</v>
      </c>
      <c r="K16" s="94">
        <f t="shared" si="0"/>
        <v>9844</v>
      </c>
    </row>
    <row r="17" spans="3:11">
      <c r="C17" s="1">
        <v>46296</v>
      </c>
      <c r="D17" s="4">
        <v>6600.22</v>
      </c>
      <c r="E17" s="4">
        <v>6600.22</v>
      </c>
      <c r="F17" s="4"/>
      <c r="G17" s="203"/>
      <c r="H17" s="1">
        <v>46296</v>
      </c>
      <c r="I17" s="94">
        <v>4922</v>
      </c>
      <c r="J17" s="203">
        <v>4922</v>
      </c>
      <c r="K17" s="94">
        <f t="shared" si="0"/>
        <v>9844</v>
      </c>
    </row>
    <row r="18" spans="3:11">
      <c r="C18" s="1">
        <v>46310</v>
      </c>
      <c r="D18" s="4">
        <v>2500</v>
      </c>
      <c r="E18" s="4">
        <v>6600.22</v>
      </c>
      <c r="F18" s="4"/>
      <c r="G18" s="203"/>
      <c r="H18" s="1">
        <v>46310</v>
      </c>
      <c r="I18" s="94">
        <v>4922</v>
      </c>
      <c r="J18" s="203">
        <v>4922</v>
      </c>
      <c r="K18" s="94">
        <f t="shared" si="0"/>
        <v>9844</v>
      </c>
    </row>
    <row r="19" spans="3:11">
      <c r="C19" s="1">
        <v>46312</v>
      </c>
      <c r="D19" s="4">
        <v>100</v>
      </c>
      <c r="E19" s="4">
        <v>6600.22</v>
      </c>
      <c r="F19" s="4"/>
      <c r="G19" s="203"/>
      <c r="H19" s="1">
        <v>46312</v>
      </c>
      <c r="I19" s="94">
        <v>4922</v>
      </c>
      <c r="J19" s="203">
        <v>4922</v>
      </c>
      <c r="K19" s="94">
        <f t="shared" si="0"/>
        <v>9844</v>
      </c>
    </row>
    <row r="20" spans="3:11">
      <c r="C20" s="1">
        <v>46326</v>
      </c>
      <c r="D20" s="4">
        <v>6600.22</v>
      </c>
      <c r="E20" s="4">
        <v>6600.22</v>
      </c>
      <c r="F20" s="4"/>
      <c r="G20" s="203"/>
      <c r="H20" s="1">
        <v>46326</v>
      </c>
      <c r="I20" s="94">
        <v>4922</v>
      </c>
      <c r="J20" s="203">
        <v>4922</v>
      </c>
      <c r="K20" s="94">
        <f t="shared" si="0"/>
        <v>9844</v>
      </c>
    </row>
    <row r="21" spans="3:11">
      <c r="C21" s="1">
        <v>46357</v>
      </c>
      <c r="D21" s="4">
        <v>6600.22</v>
      </c>
      <c r="E21" s="4">
        <v>6600.22</v>
      </c>
      <c r="F21" s="4"/>
      <c r="G21" s="203"/>
      <c r="H21" s="1">
        <v>46357</v>
      </c>
      <c r="I21" s="94">
        <v>4922</v>
      </c>
      <c r="J21" s="203">
        <v>4922</v>
      </c>
      <c r="K21" s="94">
        <f t="shared" si="0"/>
        <v>9844</v>
      </c>
    </row>
    <row r="22" spans="3:11">
      <c r="C22" s="203" t="s">
        <v>335</v>
      </c>
      <c r="D22" s="4">
        <v>2242</v>
      </c>
      <c r="E22" s="4">
        <v>6600.22</v>
      </c>
      <c r="F22" s="4"/>
      <c r="G22" s="203"/>
      <c r="H22" s="203" t="s">
        <v>335</v>
      </c>
      <c r="I22" s="94">
        <v>4922</v>
      </c>
      <c r="J22" s="203">
        <v>4922</v>
      </c>
      <c r="K22" s="94">
        <v>9844</v>
      </c>
    </row>
    <row r="23" spans="3:11">
      <c r="C23" s="2" t="s">
        <v>336</v>
      </c>
      <c r="D23" s="3">
        <f>SUM(D3:D22)/2</f>
        <v>43242.87</v>
      </c>
      <c r="E23" s="203">
        <f>SUM(E3:E22)</f>
        <v>132004.4</v>
      </c>
      <c r="F23" s="203"/>
      <c r="G23" s="203"/>
      <c r="H23" s="2" t="s">
        <v>336</v>
      </c>
      <c r="I23" s="203"/>
      <c r="J23" s="203"/>
      <c r="K23" s="94">
        <f>SUM(K3:K22)</f>
        <v>196880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2895-B64F-4E63-99B0-B49DA2FD3B2D}">
  <dimension ref="A1:I64"/>
  <sheetViews>
    <sheetView topLeftCell="A19" workbookViewId="0">
      <selection activeCell="A38" sqref="A38"/>
    </sheetView>
  </sheetViews>
  <sheetFormatPr defaultColWidth="9.33203125" defaultRowHeight="13.15"/>
  <cols>
    <col min="1" max="1" width="15.5" style="14" customWidth="1"/>
    <col min="2" max="2" width="44.5" style="14" customWidth="1"/>
    <col min="3" max="4" width="22.1640625" style="14" customWidth="1"/>
    <col min="5" max="5" width="26.6640625" style="14" customWidth="1"/>
    <col min="6" max="6" width="9.33203125" style="14"/>
    <col min="7" max="7" width="40" style="14" customWidth="1"/>
    <col min="8" max="8" width="22.1640625" style="14" customWidth="1"/>
    <col min="9" max="9" width="17.83203125" style="14" customWidth="1"/>
    <col min="10" max="16384" width="9.33203125" style="14"/>
  </cols>
  <sheetData>
    <row r="1" spans="1:9" ht="17.45">
      <c r="A1" s="19" t="s">
        <v>337</v>
      </c>
    </row>
    <row r="2" spans="1:9">
      <c r="A2" s="20" t="s">
        <v>338</v>
      </c>
    </row>
    <row r="4" spans="1:9" ht="15.6">
      <c r="A4" s="21" t="s">
        <v>339</v>
      </c>
      <c r="G4" s="22" t="s">
        <v>340</v>
      </c>
    </row>
    <row r="5" spans="1:9">
      <c r="A5" s="14" t="s">
        <v>341</v>
      </c>
      <c r="B5" s="14">
        <v>5021.1899999999996</v>
      </c>
      <c r="G5" s="21" t="s">
        <v>50</v>
      </c>
      <c r="H5" s="21" t="s">
        <v>342</v>
      </c>
      <c r="I5" s="21" t="s">
        <v>343</v>
      </c>
    </row>
    <row r="6" spans="1:9">
      <c r="A6" s="14" t="s">
        <v>344</v>
      </c>
      <c r="B6" s="14">
        <v>1</v>
      </c>
      <c r="G6" s="14" t="s">
        <v>38</v>
      </c>
      <c r="H6" s="14">
        <f>SUMIF($E$13:$E$59,"Cartão",$D$13:$D$59)</f>
        <v>16607.75</v>
      </c>
      <c r="I6" s="14">
        <f t="shared" ref="I6:I19" si="0">IF($D$63&gt;0,H6/$D$63,0)</f>
        <v>0.18961185840914083</v>
      </c>
    </row>
    <row r="7" spans="1:9">
      <c r="A7" s="14" t="s">
        <v>345</v>
      </c>
      <c r="B7" s="14">
        <v>13240.28</v>
      </c>
      <c r="G7" s="14" t="s">
        <v>45</v>
      </c>
      <c r="H7" s="14">
        <f>SUMIF($E$13:$E$59,"Financiamento",$D$13:$D$59)</f>
        <v>6404.66</v>
      </c>
      <c r="I7" s="14">
        <f t="shared" si="0"/>
        <v>7.3122456990181564E-2</v>
      </c>
    </row>
    <row r="8" spans="1:9">
      <c r="A8" s="14" t="s">
        <v>346</v>
      </c>
      <c r="B8" s="14">
        <v>13241.28</v>
      </c>
      <c r="G8" s="14" t="s">
        <v>63</v>
      </c>
      <c r="H8" s="14">
        <f>SUMIF($E$13:$E$59,"Transferência",$D$13:$D$59)</f>
        <v>7521.28</v>
      </c>
      <c r="I8" s="14">
        <f t="shared" si="0"/>
        <v>8.5870986642712144E-2</v>
      </c>
    </row>
    <row r="9" spans="1:9">
      <c r="A9" s="14" t="s">
        <v>347</v>
      </c>
      <c r="B9" s="14">
        <v>65237.17</v>
      </c>
      <c r="G9" s="14" t="s">
        <v>44</v>
      </c>
      <c r="H9" s="14">
        <f>SUMIF($E$13:$E$59,"Escola",$D$13:$D$59)</f>
        <v>3788.01</v>
      </c>
      <c r="I9" s="14">
        <f t="shared" si="0"/>
        <v>4.3247978550520663E-2</v>
      </c>
    </row>
    <row r="10" spans="1:9">
      <c r="A10" s="14" t="s">
        <v>348</v>
      </c>
      <c r="B10" s="14">
        <v>65237.17</v>
      </c>
      <c r="G10" s="14" t="s">
        <v>67</v>
      </c>
      <c r="H10" s="14">
        <f>SUMIF($E$13:$E$59,"Terapia/Psicologia",$D$13:$D$59)</f>
        <v>4000</v>
      </c>
      <c r="I10" s="14">
        <f t="shared" si="0"/>
        <v>4.5668283400012839E-2</v>
      </c>
    </row>
    <row r="11" spans="1:9">
      <c r="G11" s="14" t="s">
        <v>349</v>
      </c>
      <c r="H11" s="14">
        <f>SUMIF($E$13:$E$59,"Serviços",$D$13:$D$59)</f>
        <v>920</v>
      </c>
      <c r="I11" s="14">
        <f t="shared" si="0"/>
        <v>1.0503705182002953E-2</v>
      </c>
    </row>
    <row r="12" spans="1:9">
      <c r="A12" s="23" t="s">
        <v>350</v>
      </c>
      <c r="B12" s="23" t="s">
        <v>351</v>
      </c>
      <c r="C12" s="23" t="s">
        <v>352</v>
      </c>
      <c r="D12" s="23" t="s">
        <v>342</v>
      </c>
      <c r="E12" s="23" t="s">
        <v>50</v>
      </c>
      <c r="G12" s="14" t="s">
        <v>353</v>
      </c>
      <c r="H12" s="14">
        <f>SUMIF($E$13:$E$59,"Telefone",$D$13:$D$59)</f>
        <v>82.13</v>
      </c>
      <c r="I12" s="14">
        <f t="shared" si="0"/>
        <v>9.3768402891076358E-4</v>
      </c>
    </row>
    <row r="13" spans="1:9">
      <c r="A13" s="24">
        <v>46054</v>
      </c>
      <c r="B13" s="24" t="s">
        <v>354</v>
      </c>
      <c r="C13" s="24"/>
      <c r="D13" s="24">
        <v>2499.88</v>
      </c>
      <c r="E13" s="24" t="s">
        <v>63</v>
      </c>
      <c r="G13" s="14" t="s">
        <v>81</v>
      </c>
      <c r="H13" s="14">
        <f>SUMIF($E$13:$E$59,"Internet/TV",$D$13:$D$59)</f>
        <v>323.87</v>
      </c>
      <c r="I13" s="14">
        <f t="shared" si="0"/>
        <v>3.6976467361905397E-3</v>
      </c>
    </row>
    <row r="14" spans="1:9">
      <c r="A14" s="24">
        <v>46054</v>
      </c>
      <c r="B14" s="24" t="s">
        <v>355</v>
      </c>
      <c r="C14" s="24"/>
      <c r="D14" s="24">
        <v>248</v>
      </c>
      <c r="E14" s="24" t="s">
        <v>63</v>
      </c>
      <c r="G14" s="14" t="s">
        <v>76</v>
      </c>
      <c r="H14" s="14">
        <f>SUMIF($E$13:$E$59,"Conta Luz",$D$13:$D$59)</f>
        <v>327.82</v>
      </c>
      <c r="I14" s="14">
        <f t="shared" si="0"/>
        <v>3.7427441660480521E-3</v>
      </c>
    </row>
    <row r="15" spans="1:9">
      <c r="A15" s="24">
        <v>46054</v>
      </c>
      <c r="B15" s="24" t="s">
        <v>356</v>
      </c>
      <c r="C15" s="24"/>
      <c r="D15" s="24">
        <v>61.7</v>
      </c>
      <c r="E15" s="24" t="s">
        <v>38</v>
      </c>
      <c r="G15" s="14" t="s">
        <v>78</v>
      </c>
      <c r="H15" s="14">
        <f>SUMIF($E$13:$E$59,"Farmácia",$D$13:$D$59)</f>
        <v>303.83999999999997</v>
      </c>
      <c r="I15" s="14">
        <f t="shared" si="0"/>
        <v>3.4689628070649751E-3</v>
      </c>
    </row>
    <row r="16" spans="1:9">
      <c r="A16" s="24">
        <v>46054</v>
      </c>
      <c r="B16" s="24" t="s">
        <v>357</v>
      </c>
      <c r="C16" s="24"/>
      <c r="D16" s="24">
        <v>16546.05</v>
      </c>
      <c r="E16" s="24" t="s">
        <v>38</v>
      </c>
      <c r="G16" s="14" t="s">
        <v>60</v>
      </c>
      <c r="H16" s="14">
        <f>SUMIF($E$13:$E$59,"Seguro",$D$13:$D$59)</f>
        <v>105.48</v>
      </c>
      <c r="I16" s="14">
        <f t="shared" si="0"/>
        <v>1.2042726332583387E-3</v>
      </c>
    </row>
    <row r="17" spans="1:9">
      <c r="A17" s="24">
        <v>46054</v>
      </c>
      <c r="B17" s="24" t="s">
        <v>358</v>
      </c>
      <c r="C17" s="24">
        <v>15000</v>
      </c>
      <c r="D17" s="24"/>
      <c r="E17" s="24" t="s">
        <v>58</v>
      </c>
      <c r="G17" s="14" t="s">
        <v>65</v>
      </c>
      <c r="H17" s="14">
        <f>SUMIF($E$13:$E$59,"Compras",$D$13:$D$59)</f>
        <v>979.85</v>
      </c>
      <c r="I17" s="14">
        <f t="shared" si="0"/>
        <v>1.1187016872375645E-2</v>
      </c>
    </row>
    <row r="18" spans="1:9">
      <c r="A18" s="24">
        <v>46054</v>
      </c>
      <c r="B18" s="24" t="s">
        <v>359</v>
      </c>
      <c r="C18" s="24"/>
      <c r="D18" s="24">
        <v>327.82</v>
      </c>
      <c r="E18" s="24" t="s">
        <v>76</v>
      </c>
      <c r="G18" s="14" t="s">
        <v>68</v>
      </c>
      <c r="H18" s="14">
        <f>SUMIF($E$13:$E$59,"Alimentação",$D$13:$D$59)</f>
        <v>232.84</v>
      </c>
      <c r="I18" s="14">
        <f t="shared" si="0"/>
        <v>2.6583507767147475E-3</v>
      </c>
    </row>
    <row r="19" spans="1:9">
      <c r="A19" s="24">
        <v>46143</v>
      </c>
      <c r="B19" s="24" t="s">
        <v>360</v>
      </c>
      <c r="C19" s="24"/>
      <c r="D19" s="24">
        <v>490.61</v>
      </c>
      <c r="E19" s="24" t="s">
        <v>361</v>
      </c>
      <c r="G19" s="14" t="s">
        <v>361</v>
      </c>
      <c r="H19" s="14">
        <f>SUMIF($E$13:$E$59,"Pagamento",$D$13:$D$59)</f>
        <v>490.61</v>
      </c>
      <c r="I19" s="14">
        <f t="shared" si="0"/>
        <v>5.6013291297200753E-3</v>
      </c>
    </row>
    <row r="20" spans="1:9">
      <c r="A20" s="24">
        <v>46143</v>
      </c>
      <c r="B20" s="24" t="s">
        <v>362</v>
      </c>
      <c r="C20" s="24"/>
      <c r="D20" s="24">
        <v>82.13</v>
      </c>
      <c r="E20" s="24" t="s">
        <v>353</v>
      </c>
      <c r="G20" s="25" t="s">
        <v>87</v>
      </c>
      <c r="H20" s="25">
        <f>SUM(H6:H19)</f>
        <v>42088.139999999992</v>
      </c>
      <c r="I20" s="25">
        <f>SUM(I6:I19)</f>
        <v>0.48052327632485409</v>
      </c>
    </row>
    <row r="21" spans="1:9">
      <c r="A21" s="24">
        <v>46143</v>
      </c>
      <c r="B21" s="24" t="s">
        <v>363</v>
      </c>
      <c r="C21" s="24"/>
      <c r="D21" s="24">
        <v>81.069999999999993</v>
      </c>
      <c r="E21" s="24" t="s">
        <v>65</v>
      </c>
    </row>
    <row r="22" spans="1:9">
      <c r="A22" s="24">
        <v>46143</v>
      </c>
      <c r="B22" s="24" t="s">
        <v>364</v>
      </c>
      <c r="C22" s="24"/>
      <c r="D22" s="24">
        <v>1540</v>
      </c>
      <c r="E22" s="24" t="s">
        <v>63</v>
      </c>
      <c r="G22" s="26" t="s">
        <v>365</v>
      </c>
    </row>
    <row r="23" spans="1:9">
      <c r="A23" s="24">
        <v>46143</v>
      </c>
      <c r="B23" s="24" t="s">
        <v>358</v>
      </c>
      <c r="C23" s="24">
        <v>5000</v>
      </c>
      <c r="D23" s="24"/>
      <c r="E23" s="24" t="s">
        <v>58</v>
      </c>
      <c r="G23" s="15" t="s">
        <v>50</v>
      </c>
      <c r="H23" s="15" t="s">
        <v>366</v>
      </c>
    </row>
    <row r="24" spans="1:9">
      <c r="A24" s="24">
        <v>46143</v>
      </c>
      <c r="B24" s="24" t="s">
        <v>367</v>
      </c>
      <c r="C24" s="24">
        <v>3790</v>
      </c>
      <c r="D24" s="24"/>
      <c r="E24" s="24" t="s">
        <v>368</v>
      </c>
      <c r="G24" s="14" t="s">
        <v>369</v>
      </c>
      <c r="H24" s="14">
        <f>SUMIF($E$13:$E$59,"Salário",$C$13:$C$59)</f>
        <v>62537.380000000005</v>
      </c>
    </row>
    <row r="25" spans="1:9">
      <c r="A25" s="24">
        <v>46143</v>
      </c>
      <c r="B25" s="24" t="s">
        <v>370</v>
      </c>
      <c r="C25" s="24"/>
      <c r="D25" s="24">
        <v>323.87</v>
      </c>
      <c r="E25" s="24" t="s">
        <v>81</v>
      </c>
      <c r="G25" s="14" t="s">
        <v>371</v>
      </c>
      <c r="H25" s="14">
        <f>SUMIF($E$13:$E$59,"Recebimento",$C$13:$C$59)</f>
        <v>8675</v>
      </c>
    </row>
    <row r="26" spans="1:9">
      <c r="A26" s="24">
        <v>46174</v>
      </c>
      <c r="B26" s="24" t="s">
        <v>372</v>
      </c>
      <c r="C26" s="24"/>
      <c r="D26" s="24">
        <v>800</v>
      </c>
      <c r="E26" s="24" t="s">
        <v>63</v>
      </c>
      <c r="G26" s="14" t="s">
        <v>373</v>
      </c>
      <c r="H26" s="14">
        <f>SUMIF($E$13:$E$59,"Reembolso",$C$13:$C$59)</f>
        <v>391.61</v>
      </c>
    </row>
    <row r="27" spans="1:9">
      <c r="A27" s="24">
        <v>46174</v>
      </c>
      <c r="B27" s="24" t="s">
        <v>374</v>
      </c>
      <c r="C27" s="24">
        <v>151.27000000000001</v>
      </c>
      <c r="D27" s="24"/>
      <c r="E27" s="24" t="s">
        <v>5</v>
      </c>
      <c r="G27" s="14" t="s">
        <v>375</v>
      </c>
      <c r="H27" s="14">
        <f>SUMIF($E$13:$E$59,"Transferência Interna",$C$13:$C$59)</f>
        <v>23400</v>
      </c>
    </row>
    <row r="28" spans="1:9">
      <c r="A28" s="24">
        <v>46204</v>
      </c>
      <c r="B28" s="24" t="s">
        <v>376</v>
      </c>
      <c r="C28" s="24"/>
      <c r="D28" s="24">
        <v>303.83999999999997</v>
      </c>
      <c r="E28" s="24" t="s">
        <v>78</v>
      </c>
      <c r="G28" s="14" t="s">
        <v>377</v>
      </c>
      <c r="H28" s="14">
        <f>SUMIF($E$13:$E$59,"Devolução",$C$13:$C$59)</f>
        <v>93.82</v>
      </c>
    </row>
    <row r="29" spans="1:9">
      <c r="A29" s="24">
        <v>46204</v>
      </c>
      <c r="B29" s="24" t="s">
        <v>364</v>
      </c>
      <c r="C29" s="24"/>
      <c r="D29" s="24">
        <v>440</v>
      </c>
      <c r="E29" s="24" t="s">
        <v>63</v>
      </c>
    </row>
    <row r="30" spans="1:9">
      <c r="A30" s="24">
        <v>46204</v>
      </c>
      <c r="B30" s="24" t="s">
        <v>378</v>
      </c>
      <c r="C30" s="24"/>
      <c r="D30" s="24">
        <v>51</v>
      </c>
      <c r="E30" s="24" t="s">
        <v>63</v>
      </c>
    </row>
    <row r="31" spans="1:9">
      <c r="A31" s="24">
        <v>46266</v>
      </c>
      <c r="B31" s="24" t="s">
        <v>379</v>
      </c>
      <c r="C31" s="24"/>
      <c r="D31" s="24">
        <v>115.99</v>
      </c>
      <c r="E31" s="24" t="s">
        <v>65</v>
      </c>
    </row>
    <row r="32" spans="1:9">
      <c r="A32" s="24">
        <v>46266</v>
      </c>
      <c r="B32" s="24" t="s">
        <v>380</v>
      </c>
      <c r="C32" s="24"/>
      <c r="D32" s="24">
        <v>977.4</v>
      </c>
      <c r="E32" s="24" t="s">
        <v>63</v>
      </c>
    </row>
    <row r="33" spans="1:5">
      <c r="A33" s="24">
        <v>46266</v>
      </c>
      <c r="B33" s="24" t="s">
        <v>374</v>
      </c>
      <c r="C33" s="24">
        <v>240.34</v>
      </c>
      <c r="D33" s="24"/>
      <c r="E33" s="24" t="s">
        <v>5</v>
      </c>
    </row>
    <row r="34" spans="1:5">
      <c r="A34" s="24">
        <v>46357</v>
      </c>
      <c r="B34" s="24" t="s">
        <v>381</v>
      </c>
      <c r="C34" s="24"/>
      <c r="D34" s="24">
        <v>2757.01</v>
      </c>
      <c r="E34" s="24" t="s">
        <v>44</v>
      </c>
    </row>
    <row r="35" spans="1:5">
      <c r="A35" s="24">
        <v>46357</v>
      </c>
      <c r="B35" s="24" t="s">
        <v>382</v>
      </c>
      <c r="C35" s="24"/>
      <c r="D35" s="24">
        <v>61.39</v>
      </c>
      <c r="E35" s="24" t="s">
        <v>65</v>
      </c>
    </row>
    <row r="36" spans="1:5">
      <c r="A36" s="24">
        <v>46357</v>
      </c>
      <c r="B36" s="24" t="s">
        <v>383</v>
      </c>
      <c r="C36" s="24">
        <v>35</v>
      </c>
      <c r="D36" s="24"/>
      <c r="E36" s="24" t="s">
        <v>368</v>
      </c>
    </row>
    <row r="37" spans="1:5">
      <c r="A37" s="24">
        <v>46357</v>
      </c>
      <c r="B37" s="24" t="s">
        <v>367</v>
      </c>
      <c r="C37" s="24">
        <v>3000</v>
      </c>
      <c r="D37" s="24"/>
      <c r="E37" s="24" t="s">
        <v>368</v>
      </c>
    </row>
    <row r="38" spans="1:5">
      <c r="A38" s="24" t="s">
        <v>384</v>
      </c>
      <c r="B38" s="24" t="s">
        <v>385</v>
      </c>
      <c r="C38" s="24"/>
      <c r="D38" s="24">
        <v>6404.66</v>
      </c>
      <c r="E38" s="24" t="s">
        <v>45</v>
      </c>
    </row>
    <row r="39" spans="1:5">
      <c r="A39" s="24" t="s">
        <v>384</v>
      </c>
      <c r="B39" s="24" t="s">
        <v>358</v>
      </c>
      <c r="C39" s="24">
        <v>3000</v>
      </c>
      <c r="D39" s="24"/>
      <c r="E39" s="24" t="s">
        <v>58</v>
      </c>
    </row>
    <row r="40" spans="1:5">
      <c r="A40" s="24" t="s">
        <v>384</v>
      </c>
      <c r="B40" s="24" t="s">
        <v>386</v>
      </c>
      <c r="C40" s="24">
        <v>93.82</v>
      </c>
      <c r="D40" s="24"/>
      <c r="E40" s="24" t="s">
        <v>377</v>
      </c>
    </row>
    <row r="41" spans="1:5">
      <c r="A41" s="24" t="s">
        <v>384</v>
      </c>
      <c r="B41" s="24" t="s">
        <v>367</v>
      </c>
      <c r="C41" s="24">
        <v>200</v>
      </c>
      <c r="D41" s="24"/>
      <c r="E41" s="24" t="s">
        <v>368</v>
      </c>
    </row>
    <row r="42" spans="1:5">
      <c r="A42" s="24" t="s">
        <v>387</v>
      </c>
      <c r="B42" s="24" t="s">
        <v>388</v>
      </c>
      <c r="C42" s="24"/>
      <c r="D42" s="24">
        <v>105.48</v>
      </c>
      <c r="E42" s="24" t="s">
        <v>60</v>
      </c>
    </row>
    <row r="43" spans="1:5">
      <c r="A43" s="24" t="s">
        <v>387</v>
      </c>
      <c r="B43" s="24" t="s">
        <v>389</v>
      </c>
      <c r="C43" s="24"/>
      <c r="D43" s="24">
        <v>1031</v>
      </c>
      <c r="E43" s="24" t="s">
        <v>44</v>
      </c>
    </row>
    <row r="44" spans="1:5">
      <c r="A44" s="24" t="s">
        <v>390</v>
      </c>
      <c r="B44" s="24" t="s">
        <v>391</v>
      </c>
      <c r="C44" s="24"/>
      <c r="D44" s="24">
        <v>232.84</v>
      </c>
      <c r="E44" s="24" t="s">
        <v>68</v>
      </c>
    </row>
    <row r="45" spans="1:5">
      <c r="A45" s="24" t="s">
        <v>392</v>
      </c>
      <c r="B45" s="24" t="s">
        <v>393</v>
      </c>
      <c r="C45" s="24"/>
      <c r="D45" s="24">
        <v>477.06</v>
      </c>
      <c r="E45" s="24" t="s">
        <v>65</v>
      </c>
    </row>
    <row r="46" spans="1:5">
      <c r="A46" s="24" t="s">
        <v>394</v>
      </c>
      <c r="B46" s="24" t="s">
        <v>364</v>
      </c>
      <c r="C46" s="24"/>
      <c r="D46" s="24">
        <v>220</v>
      </c>
      <c r="E46" s="24" t="s">
        <v>63</v>
      </c>
    </row>
    <row r="47" spans="1:5">
      <c r="A47" s="24" t="s">
        <v>395</v>
      </c>
      <c r="B47" s="24" t="s">
        <v>396</v>
      </c>
      <c r="C47" s="24"/>
      <c r="D47" s="24">
        <v>244.34</v>
      </c>
      <c r="E47" s="24" t="s">
        <v>65</v>
      </c>
    </row>
    <row r="48" spans="1:5">
      <c r="A48" s="24" t="s">
        <v>395</v>
      </c>
      <c r="B48" s="24" t="s">
        <v>367</v>
      </c>
      <c r="C48" s="24">
        <v>350</v>
      </c>
      <c r="D48" s="24"/>
      <c r="E48" s="24" t="s">
        <v>368</v>
      </c>
    </row>
    <row r="49" spans="1:5">
      <c r="A49" s="24" t="s">
        <v>397</v>
      </c>
      <c r="B49" s="24" t="s">
        <v>358</v>
      </c>
      <c r="C49" s="24"/>
      <c r="D49" s="24">
        <v>39500</v>
      </c>
      <c r="E49" s="24" t="s">
        <v>58</v>
      </c>
    </row>
    <row r="50" spans="1:5">
      <c r="A50" s="24" t="s">
        <v>397</v>
      </c>
      <c r="B50" s="24" t="s">
        <v>398</v>
      </c>
      <c r="C50" s="24">
        <v>38321.82</v>
      </c>
      <c r="D50" s="24"/>
      <c r="E50" s="24" t="s">
        <v>369</v>
      </c>
    </row>
    <row r="51" spans="1:5">
      <c r="A51" s="24" t="s">
        <v>397</v>
      </c>
      <c r="B51" s="24" t="s">
        <v>367</v>
      </c>
      <c r="C51" s="24">
        <v>1300</v>
      </c>
      <c r="D51" s="24"/>
      <c r="E51" s="24" t="s">
        <v>368</v>
      </c>
    </row>
    <row r="52" spans="1:5">
      <c r="A52" s="24" t="s">
        <v>399</v>
      </c>
      <c r="B52" s="24" t="s">
        <v>358</v>
      </c>
      <c r="C52" s="24"/>
      <c r="D52" s="24">
        <v>6000</v>
      </c>
      <c r="E52" s="24" t="s">
        <v>58</v>
      </c>
    </row>
    <row r="53" spans="1:5">
      <c r="A53" s="24" t="s">
        <v>399</v>
      </c>
      <c r="B53" s="24" t="s">
        <v>400</v>
      </c>
      <c r="C53" s="24"/>
      <c r="D53" s="24">
        <v>460</v>
      </c>
      <c r="E53" s="24" t="s">
        <v>349</v>
      </c>
    </row>
    <row r="54" spans="1:5">
      <c r="A54" s="24" t="s">
        <v>399</v>
      </c>
      <c r="B54" s="24" t="s">
        <v>358</v>
      </c>
      <c r="C54" s="24">
        <v>400</v>
      </c>
      <c r="D54" s="24"/>
      <c r="E54" s="24" t="s">
        <v>58</v>
      </c>
    </row>
    <row r="55" spans="1:5">
      <c r="A55" s="24" t="s">
        <v>399</v>
      </c>
      <c r="B55" s="24" t="s">
        <v>398</v>
      </c>
      <c r="C55" s="24">
        <v>24215.56</v>
      </c>
      <c r="D55" s="24"/>
      <c r="E55" s="24" t="s">
        <v>369</v>
      </c>
    </row>
    <row r="56" spans="1:5">
      <c r="A56" s="24" t="s">
        <v>401</v>
      </c>
      <c r="B56" s="24" t="s">
        <v>402</v>
      </c>
      <c r="C56" s="24"/>
      <c r="D56" s="24">
        <v>700</v>
      </c>
      <c r="E56" s="24" t="s">
        <v>63</v>
      </c>
    </row>
    <row r="57" spans="1:5">
      <c r="A57" s="24" t="s">
        <v>401</v>
      </c>
      <c r="B57" s="24" t="s">
        <v>403</v>
      </c>
      <c r="C57" s="24"/>
      <c r="D57" s="24">
        <v>45</v>
      </c>
      <c r="E57" s="24" t="s">
        <v>63</v>
      </c>
    </row>
    <row r="58" spans="1:5">
      <c r="A58" s="24" t="s">
        <v>401</v>
      </c>
      <c r="B58" s="24" t="s">
        <v>400</v>
      </c>
      <c r="C58" s="24"/>
      <c r="D58" s="24">
        <v>460</v>
      </c>
      <c r="E58" s="24" t="s">
        <v>349</v>
      </c>
    </row>
    <row r="59" spans="1:5">
      <c r="A59" s="27" t="s">
        <v>401</v>
      </c>
      <c r="B59" s="27" t="s">
        <v>404</v>
      </c>
      <c r="C59" s="27"/>
      <c r="D59" s="27">
        <v>4000</v>
      </c>
      <c r="E59" s="27" t="s">
        <v>67</v>
      </c>
    </row>
    <row r="61" spans="1:5">
      <c r="A61" s="25" t="s">
        <v>405</v>
      </c>
    </row>
    <row r="62" spans="1:5">
      <c r="B62" s="14" t="s">
        <v>406</v>
      </c>
      <c r="C62" s="26">
        <f>SUM(C13:C59)</f>
        <v>95097.81</v>
      </c>
    </row>
    <row r="63" spans="1:5">
      <c r="B63" s="14" t="s">
        <v>407</v>
      </c>
      <c r="D63" s="28">
        <f>SUM(D13:D59)</f>
        <v>87588.139999999985</v>
      </c>
    </row>
    <row r="64" spans="1:5">
      <c r="B64" s="14" t="s">
        <v>408</v>
      </c>
      <c r="C64" s="25">
        <f>C62-D63</f>
        <v>7509.6700000000128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49F1-4834-481C-B095-F6CEDFE9438B}">
  <dimension ref="A1:I79"/>
  <sheetViews>
    <sheetView topLeftCell="A17" workbookViewId="0"/>
  </sheetViews>
  <sheetFormatPr defaultColWidth="9.33203125" defaultRowHeight="13.15"/>
  <cols>
    <col min="1" max="1" width="13.33203125" style="14" customWidth="1"/>
    <col min="2" max="2" width="53.33203125" style="14" customWidth="1"/>
    <col min="3" max="4" width="22.1640625" style="14" customWidth="1"/>
    <col min="5" max="5" width="26.6640625" style="14" customWidth="1"/>
    <col min="6" max="6" width="9.33203125" style="14"/>
    <col min="7" max="7" width="40" style="14" customWidth="1"/>
    <col min="8" max="8" width="22.1640625" style="14" customWidth="1"/>
    <col min="9" max="9" width="17.83203125" style="14" customWidth="1"/>
    <col min="10" max="16384" width="9.33203125" style="14"/>
  </cols>
  <sheetData>
    <row r="1" spans="1:9" ht="17.45">
      <c r="A1" s="19" t="s">
        <v>409</v>
      </c>
    </row>
    <row r="2" spans="1:9">
      <c r="A2" s="20" t="s">
        <v>338</v>
      </c>
    </row>
    <row r="4" spans="1:9">
      <c r="A4" s="21" t="s">
        <v>339</v>
      </c>
      <c r="G4" s="21" t="s">
        <v>340</v>
      </c>
    </row>
    <row r="5" spans="1:9">
      <c r="A5" s="14" t="s">
        <v>410</v>
      </c>
      <c r="B5" s="14">
        <v>1525.05</v>
      </c>
      <c r="G5" s="29" t="s">
        <v>50</v>
      </c>
      <c r="H5" s="29" t="s">
        <v>342</v>
      </c>
      <c r="I5" s="29" t="s">
        <v>343</v>
      </c>
    </row>
    <row r="6" spans="1:9">
      <c r="A6" s="14" t="s">
        <v>344</v>
      </c>
      <c r="B6" s="14">
        <v>1</v>
      </c>
      <c r="G6" s="14" t="s">
        <v>44</v>
      </c>
      <c r="H6" s="14">
        <f>SUMIF($E$11:$E$75,"Escola",$D$11:$D$75)</f>
        <v>13800.6</v>
      </c>
      <c r="I6" s="14">
        <f t="shared" ref="I6:I20" si="0">H6/$D$78</f>
        <v>0.15885520563142544</v>
      </c>
    </row>
    <row r="7" spans="1:9">
      <c r="A7" s="14" t="s">
        <v>345</v>
      </c>
      <c r="B7" s="14">
        <v>20655.2</v>
      </c>
      <c r="G7" s="14" t="s">
        <v>45</v>
      </c>
      <c r="H7" s="14">
        <f>SUMIF($E$11:$E$75,"Financiamento",$D$11:$D$75)</f>
        <v>6398.09</v>
      </c>
      <c r="I7" s="14">
        <f t="shared" si="0"/>
        <v>7.3646790907523352E-2</v>
      </c>
    </row>
    <row r="8" spans="1:9">
      <c r="A8" s="14" t="s">
        <v>346</v>
      </c>
      <c r="B8" s="14">
        <v>20656.2</v>
      </c>
      <c r="G8" s="14" t="s">
        <v>56</v>
      </c>
      <c r="H8" s="14">
        <f>SUMIF($E$11:$E$75,"Investimento",$D$11:$D$75)</f>
        <v>42620</v>
      </c>
      <c r="I8" s="14">
        <f t="shared" si="0"/>
        <v>0.49058800805844321</v>
      </c>
    </row>
    <row r="9" spans="1:9">
      <c r="G9" s="14" t="s">
        <v>63</v>
      </c>
      <c r="H9" s="14">
        <f>SUMIF($E$11:$E$75,"Transferência",$D$11:$D$75)</f>
        <v>9446.99</v>
      </c>
      <c r="I9" s="14">
        <f t="shared" si="0"/>
        <v>0.10874190535542075</v>
      </c>
    </row>
    <row r="10" spans="1:9">
      <c r="A10" s="15" t="s">
        <v>350</v>
      </c>
      <c r="B10" s="15" t="s">
        <v>351</v>
      </c>
      <c r="C10" s="15" t="s">
        <v>352</v>
      </c>
      <c r="D10" s="15" t="s">
        <v>342</v>
      </c>
      <c r="E10" s="15" t="s">
        <v>50</v>
      </c>
      <c r="G10" s="14" t="s">
        <v>58</v>
      </c>
      <c r="H10" s="14">
        <f>SUMIF($E$11:$E$75,"Transferência Interna",$D$11:$D$75)</f>
        <v>3000</v>
      </c>
      <c r="I10" s="14">
        <f t="shared" si="0"/>
        <v>3.4532238952964096E-2</v>
      </c>
    </row>
    <row r="11" spans="1:9">
      <c r="A11" s="14">
        <v>46056</v>
      </c>
      <c r="B11" s="14" t="s">
        <v>411</v>
      </c>
      <c r="D11" s="14">
        <v>6900.3</v>
      </c>
      <c r="E11" s="14" t="s">
        <v>44</v>
      </c>
      <c r="G11" s="14" t="s">
        <v>59</v>
      </c>
      <c r="H11" s="14">
        <f>SUMIF($E$11:$E$75,"Condomínio",$D$11:$D$75)</f>
        <v>2290.5500000000002</v>
      </c>
      <c r="I11" s="14">
        <f t="shared" si="0"/>
        <v>2.6365939977903971E-2</v>
      </c>
    </row>
    <row r="12" spans="1:9">
      <c r="A12" s="14">
        <v>46056</v>
      </c>
      <c r="B12" s="14" t="s">
        <v>383</v>
      </c>
      <c r="D12" s="14">
        <v>60</v>
      </c>
      <c r="E12" s="14" t="s">
        <v>63</v>
      </c>
      <c r="G12" s="14" t="s">
        <v>38</v>
      </c>
      <c r="H12" s="14">
        <f>SUMIF($E$11:$E$75,"Cartão",$D$11:$D$75)</f>
        <v>1660.06</v>
      </c>
      <c r="I12" s="14">
        <f t="shared" si="0"/>
        <v>1.9108529532085857E-2</v>
      </c>
    </row>
    <row r="13" spans="1:9">
      <c r="A13" s="14">
        <v>46056</v>
      </c>
      <c r="B13" s="14" t="s">
        <v>412</v>
      </c>
      <c r="D13" s="14">
        <v>7220</v>
      </c>
      <c r="E13" s="14" t="s">
        <v>56</v>
      </c>
      <c r="G13" s="14" t="s">
        <v>65</v>
      </c>
      <c r="H13" s="14">
        <f>SUMIF($E$11:$E$75,"Compras",$D$11:$D$75)</f>
        <v>2764.33</v>
      </c>
      <c r="I13" s="14">
        <f t="shared" si="0"/>
        <v>3.1819501368282412E-2</v>
      </c>
    </row>
    <row r="14" spans="1:9">
      <c r="A14" s="14">
        <v>46056</v>
      </c>
      <c r="B14" s="14" t="s">
        <v>412</v>
      </c>
      <c r="D14" s="14">
        <v>35400</v>
      </c>
      <c r="E14" s="14" t="s">
        <v>56</v>
      </c>
      <c r="G14" s="14" t="s">
        <v>361</v>
      </c>
      <c r="H14" s="14">
        <f>SUMIF($E$11:$E$75,"Pagamento",$D$11:$D$75)</f>
        <v>3270.58</v>
      </c>
      <c r="I14" s="14">
        <f t="shared" si="0"/>
        <v>3.76468166915951E-2</v>
      </c>
    </row>
    <row r="15" spans="1:9">
      <c r="A15" s="14">
        <v>46056</v>
      </c>
      <c r="B15" s="14" t="s">
        <v>356</v>
      </c>
      <c r="D15" s="14">
        <v>485.89</v>
      </c>
      <c r="E15" s="14" t="s">
        <v>38</v>
      </c>
      <c r="G15" s="14" t="s">
        <v>72</v>
      </c>
      <c r="H15" s="14">
        <f>SUMIF($E$11:$E$75,"IPTU",$D$11:$D$75)</f>
        <v>766.06</v>
      </c>
      <c r="I15" s="14">
        <f t="shared" si="0"/>
        <v>8.8179223241025579E-3</v>
      </c>
    </row>
    <row r="16" spans="1:9">
      <c r="A16" s="14">
        <v>46056</v>
      </c>
      <c r="B16" s="14" t="s">
        <v>357</v>
      </c>
      <c r="D16" s="14">
        <v>1174.17</v>
      </c>
      <c r="E16" s="14" t="s">
        <v>38</v>
      </c>
      <c r="G16" s="14" t="s">
        <v>81</v>
      </c>
      <c r="H16" s="14">
        <f>SUMIF($E$11:$E$75,"Internet/TV",$D$11:$D$75)</f>
        <v>321.01</v>
      </c>
      <c r="I16" s="14">
        <f t="shared" si="0"/>
        <v>3.6950646754303346E-3</v>
      </c>
    </row>
    <row r="17" spans="1:9">
      <c r="A17" s="14">
        <v>46056</v>
      </c>
      <c r="B17" s="14" t="s">
        <v>358</v>
      </c>
      <c r="C17" s="14">
        <v>35400</v>
      </c>
      <c r="E17" s="14" t="s">
        <v>58</v>
      </c>
      <c r="G17" s="14" t="s">
        <v>76</v>
      </c>
      <c r="H17" s="14">
        <f>SUMIF($E$11:$E$75,"Conta Luz",$D$11:$D$75)</f>
        <v>360.61</v>
      </c>
      <c r="I17" s="14">
        <f t="shared" si="0"/>
        <v>4.1508902296094607E-3</v>
      </c>
    </row>
    <row r="18" spans="1:9">
      <c r="A18" s="14">
        <v>46056</v>
      </c>
      <c r="B18" s="14" t="s">
        <v>413</v>
      </c>
      <c r="C18" s="14">
        <v>0.57999999999999996</v>
      </c>
      <c r="E18" s="14" t="s">
        <v>414</v>
      </c>
      <c r="G18" s="14" t="s">
        <v>60</v>
      </c>
      <c r="H18" s="14">
        <f>SUMIF($E$11:$E$75,"Seguro",$D$11:$D$75)</f>
        <v>105.48</v>
      </c>
      <c r="I18" s="14">
        <f t="shared" si="0"/>
        <v>1.2141535215862175E-3</v>
      </c>
    </row>
    <row r="19" spans="1:9">
      <c r="A19" s="14">
        <v>46056</v>
      </c>
      <c r="B19" s="14" t="s">
        <v>358</v>
      </c>
      <c r="C19" s="14">
        <v>18000</v>
      </c>
      <c r="E19" s="14" t="s">
        <v>58</v>
      </c>
      <c r="G19" s="14" t="s">
        <v>415</v>
      </c>
      <c r="H19" s="14">
        <f>SUMIF($E$11:$E$75,"Estacionamento",$D$11:$D$75)</f>
        <v>43</v>
      </c>
      <c r="I19" s="14">
        <f t="shared" si="0"/>
        <v>4.94962091659152E-4</v>
      </c>
    </row>
    <row r="20" spans="1:9">
      <c r="A20" s="14">
        <v>46056</v>
      </c>
      <c r="B20" s="14" t="s">
        <v>358</v>
      </c>
      <c r="C20" s="14">
        <v>7000</v>
      </c>
      <c r="E20" s="14" t="s">
        <v>58</v>
      </c>
      <c r="G20" s="14" t="s">
        <v>416</v>
      </c>
      <c r="H20" s="14">
        <f>SUMIF($E$11:$E$75,"Transporte",$D$11:$D$75)</f>
        <v>27.98</v>
      </c>
      <c r="I20" s="14">
        <f t="shared" si="0"/>
        <v>3.2207068196797844E-4</v>
      </c>
    </row>
    <row r="21" spans="1:9">
      <c r="A21" s="14">
        <v>46056</v>
      </c>
      <c r="B21" s="14" t="s">
        <v>359</v>
      </c>
      <c r="D21" s="14">
        <v>360.61</v>
      </c>
      <c r="E21" s="14" t="s">
        <v>76</v>
      </c>
      <c r="G21" s="30" t="s">
        <v>87</v>
      </c>
      <c r="H21" s="30">
        <f>SUM(H6:H20)</f>
        <v>86875.34</v>
      </c>
      <c r="I21" s="30">
        <f>SUM(I6:I20)</f>
        <v>0.99999999999999989</v>
      </c>
    </row>
    <row r="22" spans="1:9">
      <c r="A22" s="14">
        <v>46084</v>
      </c>
      <c r="B22" s="14" t="s">
        <v>417</v>
      </c>
      <c r="D22" s="14">
        <v>2290.5500000000002</v>
      </c>
      <c r="E22" s="14" t="s">
        <v>59</v>
      </c>
    </row>
    <row r="23" spans="1:9">
      <c r="A23" s="14">
        <v>46115</v>
      </c>
      <c r="B23" s="14" t="s">
        <v>367</v>
      </c>
      <c r="C23" s="14">
        <v>6000</v>
      </c>
      <c r="E23" s="14" t="s">
        <v>368</v>
      </c>
      <c r="G23" s="15" t="s">
        <v>365</v>
      </c>
    </row>
    <row r="24" spans="1:9">
      <c r="A24" s="14">
        <v>46145</v>
      </c>
      <c r="B24" s="14" t="s">
        <v>418</v>
      </c>
      <c r="D24" s="14">
        <v>100</v>
      </c>
      <c r="E24" s="14" t="s">
        <v>63</v>
      </c>
      <c r="G24" s="29" t="s">
        <v>50</v>
      </c>
      <c r="H24" s="29" t="s">
        <v>366</v>
      </c>
    </row>
    <row r="25" spans="1:9">
      <c r="A25" s="14">
        <v>46145</v>
      </c>
      <c r="B25" s="14" t="s">
        <v>367</v>
      </c>
      <c r="C25" s="14">
        <v>3300</v>
      </c>
      <c r="E25" s="14" t="s">
        <v>368</v>
      </c>
      <c r="G25" s="14" t="s">
        <v>369</v>
      </c>
      <c r="H25" s="14">
        <f>SUMIF($E$11:$E$75,"Salário",$C$11:$C$75)</f>
        <v>19749.560000000001</v>
      </c>
    </row>
    <row r="26" spans="1:9">
      <c r="A26" s="14">
        <v>46145</v>
      </c>
      <c r="B26" s="14" t="s">
        <v>370</v>
      </c>
      <c r="D26" s="14">
        <v>321.01</v>
      </c>
      <c r="E26" s="14" t="s">
        <v>81</v>
      </c>
      <c r="G26" s="14" t="s">
        <v>419</v>
      </c>
      <c r="H26" s="14">
        <f>SUMIF($E$11:$E$75,"Recebimento",$C$11:$C$75)</f>
        <v>19320.5</v>
      </c>
    </row>
    <row r="27" spans="1:9">
      <c r="A27" s="14">
        <v>46268</v>
      </c>
      <c r="B27" s="14" t="s">
        <v>420</v>
      </c>
      <c r="D27" s="14">
        <v>766.06</v>
      </c>
      <c r="E27" s="14" t="s">
        <v>72</v>
      </c>
      <c r="G27" s="14" t="s">
        <v>373</v>
      </c>
      <c r="H27" s="14">
        <f>SUMIF($E$11:$E$75,"Reembolso",$C$11:$C$75)</f>
        <v>3171.58</v>
      </c>
    </row>
    <row r="28" spans="1:9">
      <c r="A28" s="14">
        <v>46268</v>
      </c>
      <c r="B28" s="14" t="s">
        <v>421</v>
      </c>
      <c r="D28" s="14">
        <v>87.03</v>
      </c>
      <c r="E28" s="14" t="s">
        <v>65</v>
      </c>
      <c r="G28" s="14" t="s">
        <v>422</v>
      </c>
      <c r="H28" s="14">
        <f>SUMIF($E$11:$E$75,"Transferência Interna",$C$11:$C$75)</f>
        <v>63400</v>
      </c>
    </row>
    <row r="29" spans="1:9">
      <c r="A29" s="14">
        <v>46268</v>
      </c>
      <c r="B29" s="14" t="s">
        <v>423</v>
      </c>
      <c r="C29" s="14">
        <v>74</v>
      </c>
      <c r="E29" s="14" t="s">
        <v>368</v>
      </c>
      <c r="G29" s="14" t="s">
        <v>377</v>
      </c>
      <c r="H29" s="14">
        <f>SUMIF($E$11:$E$75,"Devolução",$C$11:$C$75)</f>
        <v>363.64</v>
      </c>
    </row>
    <row r="30" spans="1:9">
      <c r="A30" s="14">
        <v>46268</v>
      </c>
      <c r="B30" s="14" t="s">
        <v>383</v>
      </c>
      <c r="C30" s="14">
        <v>118</v>
      </c>
      <c r="E30" s="14" t="s">
        <v>368</v>
      </c>
      <c r="G30" s="14" t="s">
        <v>414</v>
      </c>
      <c r="H30" s="14">
        <f>SUMIF($E$11:$E$75,"Rendimento",$C$11:$C$75)</f>
        <v>0.57999999999999996</v>
      </c>
    </row>
    <row r="31" spans="1:9">
      <c r="A31" s="14">
        <v>46268</v>
      </c>
      <c r="B31" s="14" t="s">
        <v>367</v>
      </c>
      <c r="C31" s="14">
        <v>1290</v>
      </c>
      <c r="E31" s="14" t="s">
        <v>368</v>
      </c>
      <c r="G31" s="30" t="s">
        <v>424</v>
      </c>
      <c r="H31" s="30">
        <f>SUM(H25:H30)</f>
        <v>106005.86</v>
      </c>
    </row>
    <row r="32" spans="1:9">
      <c r="A32" s="14">
        <v>46268</v>
      </c>
      <c r="B32" s="14" t="s">
        <v>378</v>
      </c>
      <c r="C32" s="14">
        <v>48</v>
      </c>
      <c r="E32" s="14" t="s">
        <v>368</v>
      </c>
    </row>
    <row r="33" spans="1:5">
      <c r="A33" s="14">
        <v>46329</v>
      </c>
      <c r="B33" s="14" t="s">
        <v>425</v>
      </c>
      <c r="D33" s="14">
        <v>1400</v>
      </c>
      <c r="E33" s="14" t="s">
        <v>63</v>
      </c>
    </row>
    <row r="34" spans="1:5">
      <c r="A34" s="14">
        <v>46329</v>
      </c>
      <c r="B34" s="14" t="s">
        <v>426</v>
      </c>
      <c r="C34" s="14">
        <v>74</v>
      </c>
      <c r="E34" s="14" t="s">
        <v>368</v>
      </c>
    </row>
    <row r="35" spans="1:5">
      <c r="A35" s="14">
        <v>46359</v>
      </c>
      <c r="B35" s="14" t="s">
        <v>421</v>
      </c>
      <c r="D35" s="14">
        <v>426.48</v>
      </c>
      <c r="E35" s="14" t="s">
        <v>65</v>
      </c>
    </row>
    <row r="36" spans="1:5">
      <c r="A36" s="14" t="s">
        <v>427</v>
      </c>
      <c r="B36" s="14" t="s">
        <v>428</v>
      </c>
      <c r="D36" s="14">
        <v>363.64</v>
      </c>
      <c r="E36" s="14" t="s">
        <v>65</v>
      </c>
    </row>
    <row r="37" spans="1:5">
      <c r="A37" s="14" t="s">
        <v>429</v>
      </c>
      <c r="B37" s="14" t="s">
        <v>430</v>
      </c>
      <c r="D37" s="14">
        <v>43</v>
      </c>
      <c r="E37" s="14" t="s">
        <v>415</v>
      </c>
    </row>
    <row r="38" spans="1:5">
      <c r="A38" s="14" t="s">
        <v>429</v>
      </c>
      <c r="B38" s="14" t="s">
        <v>367</v>
      </c>
      <c r="C38" s="14">
        <v>3130</v>
      </c>
      <c r="E38" s="14" t="s">
        <v>368</v>
      </c>
    </row>
    <row r="39" spans="1:5">
      <c r="A39" s="14" t="s">
        <v>431</v>
      </c>
      <c r="B39" s="14" t="s">
        <v>432</v>
      </c>
      <c r="D39" s="14">
        <v>6398.09</v>
      </c>
      <c r="E39" s="14" t="s">
        <v>45</v>
      </c>
    </row>
    <row r="40" spans="1:5">
      <c r="A40" s="14" t="s">
        <v>431</v>
      </c>
      <c r="B40" s="14" t="s">
        <v>433</v>
      </c>
      <c r="D40" s="14">
        <v>1175.8</v>
      </c>
      <c r="E40" s="14" t="s">
        <v>65</v>
      </c>
    </row>
    <row r="41" spans="1:5">
      <c r="A41" s="14" t="s">
        <v>431</v>
      </c>
      <c r="B41" s="14" t="s">
        <v>364</v>
      </c>
      <c r="D41" s="14">
        <v>1980</v>
      </c>
      <c r="E41" s="14" t="s">
        <v>63</v>
      </c>
    </row>
    <row r="42" spans="1:5">
      <c r="A42" s="14" t="s">
        <v>431</v>
      </c>
      <c r="B42" s="14" t="s">
        <v>383</v>
      </c>
      <c r="C42" s="14">
        <v>50</v>
      </c>
      <c r="E42" s="14" t="s">
        <v>368</v>
      </c>
    </row>
    <row r="43" spans="1:5">
      <c r="A43" s="14" t="s">
        <v>431</v>
      </c>
      <c r="B43" s="14" t="s">
        <v>367</v>
      </c>
      <c r="C43" s="14">
        <v>500</v>
      </c>
      <c r="E43" s="14" t="s">
        <v>368</v>
      </c>
    </row>
    <row r="44" spans="1:5">
      <c r="A44" s="14" t="s">
        <v>431</v>
      </c>
      <c r="B44" s="14" t="s">
        <v>388</v>
      </c>
      <c r="D44" s="14">
        <v>105.48</v>
      </c>
      <c r="E44" s="14" t="s">
        <v>60</v>
      </c>
    </row>
    <row r="45" spans="1:5">
      <c r="A45" s="14" t="s">
        <v>434</v>
      </c>
      <c r="B45" s="14" t="s">
        <v>435</v>
      </c>
      <c r="D45" s="14">
        <v>12.95</v>
      </c>
      <c r="E45" s="14" t="s">
        <v>63</v>
      </c>
    </row>
    <row r="46" spans="1:5">
      <c r="A46" s="14" t="s">
        <v>434</v>
      </c>
      <c r="B46" s="14" t="s">
        <v>367</v>
      </c>
      <c r="C46" s="14">
        <v>865</v>
      </c>
      <c r="E46" s="14" t="s">
        <v>368</v>
      </c>
    </row>
    <row r="47" spans="1:5">
      <c r="A47" s="14" t="s">
        <v>436</v>
      </c>
      <c r="B47" s="14" t="s">
        <v>358</v>
      </c>
      <c r="D47" s="14">
        <v>3000</v>
      </c>
      <c r="E47" s="14" t="s">
        <v>58</v>
      </c>
    </row>
    <row r="48" spans="1:5">
      <c r="A48" s="14" t="s">
        <v>436</v>
      </c>
      <c r="B48" s="14" t="s">
        <v>363</v>
      </c>
      <c r="D48" s="14">
        <v>82.58</v>
      </c>
      <c r="E48" s="14" t="s">
        <v>65</v>
      </c>
    </row>
    <row r="49" spans="1:5">
      <c r="A49" s="14" t="s">
        <v>436</v>
      </c>
      <c r="B49" s="14" t="s">
        <v>437</v>
      </c>
      <c r="D49" s="14">
        <v>27.05</v>
      </c>
      <c r="E49" s="14" t="s">
        <v>63</v>
      </c>
    </row>
    <row r="50" spans="1:5">
      <c r="A50" s="14" t="s">
        <v>436</v>
      </c>
      <c r="B50" s="14" t="s">
        <v>438</v>
      </c>
      <c r="C50" s="14">
        <v>363.64</v>
      </c>
      <c r="E50" s="14" t="s">
        <v>377</v>
      </c>
    </row>
    <row r="51" spans="1:5">
      <c r="A51" s="14" t="s">
        <v>436</v>
      </c>
      <c r="B51" s="14" t="s">
        <v>374</v>
      </c>
      <c r="C51" s="14">
        <v>2957.22</v>
      </c>
      <c r="E51" s="14" t="s">
        <v>5</v>
      </c>
    </row>
    <row r="52" spans="1:5">
      <c r="A52" s="14" t="s">
        <v>439</v>
      </c>
      <c r="B52" s="14" t="s">
        <v>440</v>
      </c>
      <c r="D52" s="14">
        <v>100</v>
      </c>
      <c r="E52" s="14" t="s">
        <v>63</v>
      </c>
    </row>
    <row r="53" spans="1:5">
      <c r="A53" s="14" t="s">
        <v>439</v>
      </c>
      <c r="B53" s="14" t="s">
        <v>441</v>
      </c>
      <c r="D53" s="14">
        <v>42.49</v>
      </c>
      <c r="E53" s="14" t="s">
        <v>63</v>
      </c>
    </row>
    <row r="54" spans="1:5">
      <c r="A54" s="14" t="s">
        <v>439</v>
      </c>
      <c r="B54" s="14" t="s">
        <v>442</v>
      </c>
      <c r="D54" s="14">
        <v>210</v>
      </c>
      <c r="E54" s="14" t="s">
        <v>63</v>
      </c>
    </row>
    <row r="55" spans="1:5">
      <c r="A55" s="14" t="s">
        <v>439</v>
      </c>
      <c r="B55" s="14" t="s">
        <v>443</v>
      </c>
      <c r="D55" s="14">
        <v>383.5</v>
      </c>
      <c r="E55" s="14" t="s">
        <v>63</v>
      </c>
    </row>
    <row r="56" spans="1:5">
      <c r="A56" s="14" t="s">
        <v>444</v>
      </c>
      <c r="B56" s="14" t="s">
        <v>367</v>
      </c>
      <c r="C56" s="14">
        <v>1140</v>
      </c>
      <c r="E56" s="14" t="s">
        <v>368</v>
      </c>
    </row>
    <row r="57" spans="1:5">
      <c r="A57" s="14" t="s">
        <v>445</v>
      </c>
      <c r="B57" s="14" t="s">
        <v>446</v>
      </c>
      <c r="D57" s="14">
        <v>215</v>
      </c>
      <c r="E57" s="14" t="s">
        <v>63</v>
      </c>
    </row>
    <row r="58" spans="1:5">
      <c r="A58" s="14" t="s">
        <v>445</v>
      </c>
      <c r="B58" s="14" t="s">
        <v>364</v>
      </c>
      <c r="D58" s="14">
        <v>400</v>
      </c>
      <c r="E58" s="14" t="s">
        <v>63</v>
      </c>
    </row>
    <row r="59" spans="1:5">
      <c r="A59" s="14" t="s">
        <v>445</v>
      </c>
      <c r="B59" s="14" t="s">
        <v>447</v>
      </c>
      <c r="D59" s="14">
        <v>360</v>
      </c>
      <c r="E59" s="14" t="s">
        <v>63</v>
      </c>
    </row>
    <row r="60" spans="1:5">
      <c r="A60" s="14" t="s">
        <v>448</v>
      </c>
      <c r="B60" s="14" t="s">
        <v>449</v>
      </c>
      <c r="D60" s="14">
        <v>1520</v>
      </c>
      <c r="E60" s="14" t="s">
        <v>63</v>
      </c>
    </row>
    <row r="61" spans="1:5">
      <c r="A61" s="14" t="s">
        <v>450</v>
      </c>
      <c r="B61" s="14" t="s">
        <v>378</v>
      </c>
      <c r="C61" s="14">
        <v>46.5</v>
      </c>
      <c r="E61" s="14" t="s">
        <v>368</v>
      </c>
    </row>
    <row r="62" spans="1:5">
      <c r="A62" s="14" t="s">
        <v>451</v>
      </c>
      <c r="B62" s="14" t="s">
        <v>452</v>
      </c>
      <c r="D62" s="14">
        <v>56</v>
      </c>
      <c r="E62" s="14" t="s">
        <v>63</v>
      </c>
    </row>
    <row r="63" spans="1:5">
      <c r="A63" s="14" t="s">
        <v>451</v>
      </c>
      <c r="B63" s="14" t="s">
        <v>367</v>
      </c>
      <c r="C63" s="14">
        <v>2140</v>
      </c>
      <c r="E63" s="14" t="s">
        <v>368</v>
      </c>
    </row>
    <row r="64" spans="1:5">
      <c r="A64" s="14" t="s">
        <v>453</v>
      </c>
      <c r="B64" s="14" t="s">
        <v>454</v>
      </c>
      <c r="D64" s="14">
        <v>3270.58</v>
      </c>
      <c r="E64" s="14" t="s">
        <v>361</v>
      </c>
    </row>
    <row r="65" spans="1:5">
      <c r="A65" s="14" t="s">
        <v>453</v>
      </c>
      <c r="B65" s="14" t="s">
        <v>455</v>
      </c>
      <c r="D65" s="14">
        <v>248.8</v>
      </c>
      <c r="E65" s="14" t="s">
        <v>65</v>
      </c>
    </row>
    <row r="66" spans="1:5">
      <c r="A66" s="14" t="s">
        <v>453</v>
      </c>
      <c r="B66" s="14" t="s">
        <v>358</v>
      </c>
      <c r="C66" s="14">
        <v>3000</v>
      </c>
      <c r="E66" s="14" t="s">
        <v>58</v>
      </c>
    </row>
    <row r="67" spans="1:5">
      <c r="A67" s="14" t="s">
        <v>453</v>
      </c>
      <c r="B67" s="14" t="s">
        <v>374</v>
      </c>
      <c r="C67" s="14">
        <v>214.36</v>
      </c>
      <c r="E67" s="14" t="s">
        <v>5</v>
      </c>
    </row>
    <row r="68" spans="1:5">
      <c r="A68" s="14" t="s">
        <v>456</v>
      </c>
      <c r="B68" s="14" t="s">
        <v>455</v>
      </c>
      <c r="D68" s="14">
        <v>380</v>
      </c>
      <c r="E68" s="14" t="s">
        <v>65</v>
      </c>
    </row>
    <row r="69" spans="1:5">
      <c r="A69" s="14" t="s">
        <v>457</v>
      </c>
      <c r="B69" s="14" t="s">
        <v>458</v>
      </c>
      <c r="D69" s="14">
        <v>6900.3</v>
      </c>
      <c r="E69" s="14" t="s">
        <v>44</v>
      </c>
    </row>
    <row r="70" spans="1:5">
      <c r="A70" s="14" t="s">
        <v>457</v>
      </c>
      <c r="B70" s="14" t="s">
        <v>459</v>
      </c>
      <c r="D70" s="14">
        <v>27.98</v>
      </c>
      <c r="E70" s="14" t="s">
        <v>416</v>
      </c>
    </row>
    <row r="71" spans="1:5">
      <c r="A71" s="14" t="s">
        <v>457</v>
      </c>
      <c r="B71" s="14" t="s">
        <v>460</v>
      </c>
      <c r="D71" s="14">
        <v>500</v>
      </c>
      <c r="E71" s="14" t="s">
        <v>63</v>
      </c>
    </row>
    <row r="72" spans="1:5">
      <c r="A72" s="14" t="s">
        <v>457</v>
      </c>
      <c r="B72" s="14" t="s">
        <v>364</v>
      </c>
      <c r="D72" s="14">
        <v>1980</v>
      </c>
      <c r="E72" s="14" t="s">
        <v>63</v>
      </c>
    </row>
    <row r="73" spans="1:5">
      <c r="A73" s="14" t="s">
        <v>457</v>
      </c>
      <c r="B73" s="14" t="s">
        <v>398</v>
      </c>
      <c r="C73" s="14">
        <v>19749.560000000001</v>
      </c>
      <c r="E73" s="14" t="s">
        <v>369</v>
      </c>
    </row>
    <row r="74" spans="1:5">
      <c r="A74" s="14" t="s">
        <v>457</v>
      </c>
      <c r="B74" s="14" t="s">
        <v>367</v>
      </c>
      <c r="C74" s="14">
        <v>545</v>
      </c>
      <c r="E74" s="14" t="s">
        <v>368</v>
      </c>
    </row>
    <row r="75" spans="1:5">
      <c r="A75" s="14" t="s">
        <v>461</v>
      </c>
      <c r="B75" s="14" t="s">
        <v>418</v>
      </c>
      <c r="D75" s="14">
        <v>100</v>
      </c>
      <c r="E75" s="14" t="s">
        <v>63</v>
      </c>
    </row>
    <row r="77" spans="1:5">
      <c r="A77" s="25"/>
      <c r="B77" s="25" t="s">
        <v>462</v>
      </c>
      <c r="C77" s="25">
        <f>SUM(C11:C75)</f>
        <v>106005.86</v>
      </c>
      <c r="D77" s="25"/>
    </row>
    <row r="78" spans="1:5">
      <c r="A78" s="25"/>
      <c r="B78" s="25" t="s">
        <v>463</v>
      </c>
      <c r="C78" s="25"/>
      <c r="D78" s="25">
        <f>SUM(D11:D75)</f>
        <v>86875.340000000011</v>
      </c>
    </row>
    <row r="79" spans="1:5">
      <c r="A79" s="25"/>
      <c r="B79" s="25" t="s">
        <v>464</v>
      </c>
      <c r="C79" s="25">
        <f>C77-D78</f>
        <v>19130.51999999999</v>
      </c>
      <c r="D79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172A-C2B1-4606-9312-50D6F79CF03A}">
  <dimension ref="A1:I85"/>
  <sheetViews>
    <sheetView workbookViewId="0"/>
  </sheetViews>
  <sheetFormatPr defaultColWidth="9.33203125" defaultRowHeight="13.15"/>
  <cols>
    <col min="1" max="1" width="13.33203125" style="14" customWidth="1"/>
    <col min="2" max="2" width="53.33203125" style="14" customWidth="1"/>
    <col min="3" max="4" width="22.1640625" style="14" customWidth="1"/>
    <col min="5" max="5" width="26.6640625" style="14" customWidth="1"/>
    <col min="6" max="6" width="9.33203125" style="14"/>
    <col min="7" max="7" width="28.83203125" style="14" customWidth="1"/>
    <col min="8" max="8" width="22.1640625" style="14" customWidth="1"/>
    <col min="9" max="9" width="17.83203125" style="14" customWidth="1"/>
    <col min="10" max="16384" width="9.33203125" style="14"/>
  </cols>
  <sheetData>
    <row r="1" spans="1:9" ht="17.45">
      <c r="A1" s="19" t="s">
        <v>465</v>
      </c>
    </row>
    <row r="2" spans="1:9">
      <c r="A2" s="20" t="s">
        <v>338</v>
      </c>
    </row>
    <row r="4" spans="1:9">
      <c r="A4" s="21" t="s">
        <v>339</v>
      </c>
      <c r="G4" s="21" t="s">
        <v>340</v>
      </c>
    </row>
    <row r="5" spans="1:9">
      <c r="A5" s="14" t="s">
        <v>466</v>
      </c>
      <c r="B5" s="14">
        <v>13241.28</v>
      </c>
      <c r="G5" s="29" t="s">
        <v>50</v>
      </c>
      <c r="H5" s="29" t="s">
        <v>342</v>
      </c>
      <c r="I5" s="29" t="s">
        <v>343</v>
      </c>
    </row>
    <row r="6" spans="1:9">
      <c r="A6" s="14" t="s">
        <v>344</v>
      </c>
      <c r="B6" s="14">
        <v>1</v>
      </c>
      <c r="G6" s="14" t="s">
        <v>44</v>
      </c>
      <c r="H6" s="14">
        <f>SUMIF($E$12:$E$81,"Escola",$D$12:$D$81)</f>
        <v>11078.779999999999</v>
      </c>
      <c r="I6" s="14">
        <f t="shared" ref="I6:I24" si="0">H6/$D$84</f>
        <v>0.33891710789886181</v>
      </c>
    </row>
    <row r="7" spans="1:9">
      <c r="A7" s="14" t="s">
        <v>345</v>
      </c>
      <c r="B7" s="14">
        <v>1524.05</v>
      </c>
      <c r="G7" s="14" t="s">
        <v>45</v>
      </c>
      <c r="H7" s="14">
        <f>SUMIF($E$12:$E$81,"Financiamento",$D$12:$D$81)</f>
        <v>6403.15</v>
      </c>
      <c r="I7" s="14">
        <f t="shared" si="0"/>
        <v>0.19588231551150914</v>
      </c>
    </row>
    <row r="8" spans="1:9">
      <c r="A8" s="14" t="s">
        <v>346</v>
      </c>
      <c r="B8" s="14">
        <v>1525.05</v>
      </c>
      <c r="G8" s="14" t="s">
        <v>38</v>
      </c>
      <c r="H8" s="14">
        <f>SUMIF($E$12:$E$81,"Cartão",$D$12:$D$81)</f>
        <v>2589.71</v>
      </c>
      <c r="I8" s="14">
        <f t="shared" si="0"/>
        <v>7.922325594485688E-2</v>
      </c>
    </row>
    <row r="9" spans="1:9">
      <c r="A9" s="14" t="s">
        <v>347</v>
      </c>
      <c r="B9" s="14">
        <v>60132.65</v>
      </c>
      <c r="G9" s="14" t="s">
        <v>63</v>
      </c>
      <c r="H9" s="14">
        <f>SUMIF($E$12:$E$81,"Transferência",$D$12:$D$81)</f>
        <v>3587</v>
      </c>
      <c r="I9" s="14">
        <f t="shared" si="0"/>
        <v>0.10973190784844698</v>
      </c>
    </row>
    <row r="10" spans="1:9">
      <c r="G10" s="14" t="s">
        <v>58</v>
      </c>
      <c r="H10" s="14">
        <f>SUMIF($E$12:$E$81,"Transferência Interna",$D$12:$D$81)</f>
        <v>2964</v>
      </c>
      <c r="I10" s="14">
        <f t="shared" si="0"/>
        <v>9.0673369072427332E-2</v>
      </c>
    </row>
    <row r="11" spans="1:9">
      <c r="A11" s="15" t="s">
        <v>350</v>
      </c>
      <c r="B11" s="15" t="s">
        <v>351</v>
      </c>
      <c r="C11" s="15" t="s">
        <v>352</v>
      </c>
      <c r="D11" s="15" t="s">
        <v>342</v>
      </c>
      <c r="E11" s="15" t="s">
        <v>50</v>
      </c>
      <c r="G11" s="14" t="s">
        <v>65</v>
      </c>
      <c r="H11" s="14">
        <f>SUMIF($E$12:$E$81,"Compras",$D$12:$D$81)</f>
        <v>1757.1000000000001</v>
      </c>
      <c r="I11" s="14">
        <f t="shared" si="0"/>
        <v>5.3752421321579653E-2</v>
      </c>
    </row>
    <row r="12" spans="1:9">
      <c r="A12" s="14">
        <v>46055</v>
      </c>
      <c r="B12" s="14" t="s">
        <v>358</v>
      </c>
      <c r="D12" s="14">
        <v>2000</v>
      </c>
      <c r="E12" s="14" t="s">
        <v>58</v>
      </c>
      <c r="G12" s="14" t="s">
        <v>66</v>
      </c>
      <c r="H12" s="14">
        <f>SUMIF($E$12:$E$81,"Terapia",$D$12:$D$81)</f>
        <v>610</v>
      </c>
      <c r="I12" s="14">
        <f t="shared" si="0"/>
        <v>1.86608485607897E-2</v>
      </c>
    </row>
    <row r="13" spans="1:9">
      <c r="A13" s="14">
        <v>46055</v>
      </c>
      <c r="B13" s="14" t="s">
        <v>467</v>
      </c>
      <c r="D13" s="14">
        <v>84.73</v>
      </c>
      <c r="E13" s="14" t="s">
        <v>65</v>
      </c>
      <c r="G13" s="14" t="s">
        <v>68</v>
      </c>
      <c r="H13" s="14">
        <f>SUMIF($E$12:$E$81,"Alimentação",$D$12:$D$81)</f>
        <v>786.29</v>
      </c>
      <c r="I13" s="14">
        <f t="shared" si="0"/>
        <v>2.4053833794857923E-2</v>
      </c>
    </row>
    <row r="14" spans="1:9">
      <c r="A14" s="14">
        <v>46055</v>
      </c>
      <c r="B14" s="14" t="s">
        <v>468</v>
      </c>
      <c r="D14" s="14">
        <v>299.16000000000003</v>
      </c>
      <c r="E14" s="14" t="s">
        <v>65</v>
      </c>
      <c r="G14" s="14" t="s">
        <v>469</v>
      </c>
      <c r="H14" s="14">
        <f>SUMIF($E$12:$E$81,"Lazer",$D$12:$D$81)</f>
        <v>578.13</v>
      </c>
      <c r="I14" s="14">
        <f t="shared" si="0"/>
        <v>1.7685895702375984E-2</v>
      </c>
    </row>
    <row r="15" spans="1:9">
      <c r="A15" s="14">
        <v>46055</v>
      </c>
      <c r="B15" s="14" t="s">
        <v>470</v>
      </c>
      <c r="D15" s="14">
        <v>24.93</v>
      </c>
      <c r="E15" s="14" t="s">
        <v>68</v>
      </c>
      <c r="G15" s="14" t="s">
        <v>72</v>
      </c>
      <c r="H15" s="14">
        <f>SUMIF($E$12:$E$81,"IPTU",$D$12:$D$81)</f>
        <v>766.06</v>
      </c>
      <c r="I15" s="14">
        <f t="shared" si="0"/>
        <v>2.3434966636850095E-2</v>
      </c>
    </row>
    <row r="16" spans="1:9">
      <c r="A16" s="14">
        <v>46055</v>
      </c>
      <c r="B16" s="14" t="s">
        <v>411</v>
      </c>
      <c r="D16" s="14">
        <v>8800.48</v>
      </c>
      <c r="E16" s="14" t="s">
        <v>44</v>
      </c>
      <c r="G16" s="14" t="s">
        <v>81</v>
      </c>
      <c r="H16" s="14">
        <f>SUMIF($E$12:$E$81,"Internet/TV",$D$12:$D$81)</f>
        <v>323.87</v>
      </c>
      <c r="I16" s="14">
        <f t="shared" si="0"/>
        <v>9.9076869235786239E-3</v>
      </c>
    </row>
    <row r="17" spans="1:9">
      <c r="A17" s="14">
        <v>46055</v>
      </c>
      <c r="B17" s="14" t="s">
        <v>356</v>
      </c>
      <c r="D17" s="14">
        <v>347.45</v>
      </c>
      <c r="E17" s="14" t="s">
        <v>38</v>
      </c>
      <c r="G17" s="14" t="s">
        <v>76</v>
      </c>
      <c r="H17" s="14">
        <f>SUMIF($E$12:$E$81,"Conta Luz",$D$12:$D$81)</f>
        <v>451.49</v>
      </c>
      <c r="I17" s="14">
        <f t="shared" si="0"/>
        <v>1.3811781174935971E-2</v>
      </c>
    </row>
    <row r="18" spans="1:9">
      <c r="A18" s="14">
        <v>46055</v>
      </c>
      <c r="B18" s="14" t="s">
        <v>357</v>
      </c>
      <c r="D18" s="14">
        <v>2242.2600000000002</v>
      </c>
      <c r="E18" s="14" t="s">
        <v>38</v>
      </c>
      <c r="G18" s="14" t="s">
        <v>361</v>
      </c>
      <c r="H18" s="14">
        <f>SUMIF($E$12:$E$81,"Pagamento",$D$12:$D$81)</f>
        <v>233.59</v>
      </c>
      <c r="I18" s="14">
        <f t="shared" si="0"/>
        <v>7.1458813365817483E-3</v>
      </c>
    </row>
    <row r="19" spans="1:9">
      <c r="A19" s="14">
        <v>46055</v>
      </c>
      <c r="B19" s="14" t="s">
        <v>367</v>
      </c>
      <c r="C19" s="14">
        <v>1400</v>
      </c>
      <c r="E19" s="14" t="s">
        <v>368</v>
      </c>
      <c r="G19" s="14" t="s">
        <v>353</v>
      </c>
      <c r="H19" s="14">
        <f>SUMIF($E$12:$E$81,"Telefone",$D$12:$D$81)</f>
        <v>85.2</v>
      </c>
      <c r="I19" s="14">
        <f t="shared" si="0"/>
        <v>2.6064004875070209E-3</v>
      </c>
    </row>
    <row r="20" spans="1:9">
      <c r="A20" s="14">
        <v>46055</v>
      </c>
      <c r="B20" s="14" t="s">
        <v>367</v>
      </c>
      <c r="C20" s="14">
        <v>400</v>
      </c>
      <c r="E20" s="14" t="s">
        <v>368</v>
      </c>
      <c r="G20" s="14" t="s">
        <v>78</v>
      </c>
      <c r="H20" s="14">
        <f>SUMIF($E$12:$E$81,"Farmácia",$D$12:$D$81)</f>
        <v>143.91</v>
      </c>
      <c r="I20" s="14">
        <f t="shared" si="0"/>
        <v>4.4024306825954851E-3</v>
      </c>
    </row>
    <row r="21" spans="1:9">
      <c r="A21" s="14">
        <v>46055</v>
      </c>
      <c r="B21" s="14" t="s">
        <v>367</v>
      </c>
      <c r="C21" s="14">
        <v>1800</v>
      </c>
      <c r="E21" s="14" t="s">
        <v>368</v>
      </c>
      <c r="G21" s="14" t="s">
        <v>471</v>
      </c>
      <c r="H21" s="14">
        <f>SUMIF($E$12:$E$81,"Assinatura",$D$12:$D$81)</f>
        <v>150</v>
      </c>
      <c r="I21" s="14">
        <f t="shared" si="0"/>
        <v>4.588733252653205E-3</v>
      </c>
    </row>
    <row r="22" spans="1:9">
      <c r="A22" s="14">
        <v>46055</v>
      </c>
      <c r="B22" s="14" t="s">
        <v>367</v>
      </c>
      <c r="C22" s="14">
        <v>2400</v>
      </c>
      <c r="E22" s="14" t="s">
        <v>368</v>
      </c>
      <c r="G22" s="14" t="s">
        <v>60</v>
      </c>
      <c r="H22" s="14">
        <f>SUMIF($E$12:$E$81,"Seguro",$D$12:$D$81)</f>
        <v>105.48</v>
      </c>
      <c r="I22" s="14">
        <f t="shared" si="0"/>
        <v>3.226797223265734E-3</v>
      </c>
    </row>
    <row r="23" spans="1:9">
      <c r="A23" s="14">
        <v>46055</v>
      </c>
      <c r="B23" s="14" t="s">
        <v>359</v>
      </c>
      <c r="D23" s="14">
        <v>451.49</v>
      </c>
      <c r="E23" s="14" t="s">
        <v>76</v>
      </c>
      <c r="G23" s="14" t="s">
        <v>472</v>
      </c>
      <c r="H23" s="14">
        <f>SUMIF($E$12:$E$81,"Saúde",$D$12:$D$81)</f>
        <v>48</v>
      </c>
      <c r="I23" s="14">
        <f t="shared" si="0"/>
        <v>1.4683946408490258E-3</v>
      </c>
    </row>
    <row r="24" spans="1:9">
      <c r="A24" s="14">
        <v>46083</v>
      </c>
      <c r="B24" s="14" t="s">
        <v>367</v>
      </c>
      <c r="C24" s="14">
        <v>1880</v>
      </c>
      <c r="E24" s="14" t="s">
        <v>368</v>
      </c>
      <c r="G24" s="14" t="s">
        <v>416</v>
      </c>
      <c r="H24" s="14">
        <f>SUMIF($E$12:$E$81,"Transporte",$D$12:$D$81)</f>
        <v>27</v>
      </c>
      <c r="I24" s="14">
        <f t="shared" si="0"/>
        <v>8.2597198547757693E-4</v>
      </c>
    </row>
    <row r="25" spans="1:9">
      <c r="A25" s="14">
        <v>46114</v>
      </c>
      <c r="B25" s="14" t="s">
        <v>360</v>
      </c>
      <c r="D25" s="14">
        <v>233.59</v>
      </c>
      <c r="E25" s="14" t="s">
        <v>361</v>
      </c>
      <c r="G25" s="30" t="s">
        <v>87</v>
      </c>
      <c r="H25" s="30">
        <f>SUM(H6:H24)</f>
        <v>32688.760000000002</v>
      </c>
      <c r="I25" s="30">
        <f>SUM(I6:I24)</f>
        <v>0.99999999999999989</v>
      </c>
    </row>
    <row r="26" spans="1:9">
      <c r="A26" s="14">
        <v>46114</v>
      </c>
      <c r="B26" s="14" t="s">
        <v>473</v>
      </c>
      <c r="D26" s="14">
        <v>340</v>
      </c>
      <c r="E26" s="14" t="s">
        <v>66</v>
      </c>
    </row>
    <row r="27" spans="1:9">
      <c r="A27" s="14">
        <v>46114</v>
      </c>
      <c r="B27" s="14" t="s">
        <v>474</v>
      </c>
      <c r="D27" s="14">
        <v>690</v>
      </c>
      <c r="E27" s="14" t="s">
        <v>63</v>
      </c>
      <c r="G27" s="15" t="s">
        <v>365</v>
      </c>
    </row>
    <row r="28" spans="1:9">
      <c r="A28" s="14">
        <v>46144</v>
      </c>
      <c r="B28" s="14" t="s">
        <v>475</v>
      </c>
      <c r="D28" s="14">
        <v>48</v>
      </c>
      <c r="E28" s="14" t="s">
        <v>472</v>
      </c>
      <c r="G28" s="29" t="s">
        <v>50</v>
      </c>
      <c r="H28" s="29" t="s">
        <v>366</v>
      </c>
    </row>
    <row r="29" spans="1:9">
      <c r="A29" s="14">
        <v>46144</v>
      </c>
      <c r="B29" s="14" t="s">
        <v>476</v>
      </c>
      <c r="D29" s="14">
        <v>32</v>
      </c>
      <c r="E29" s="14" t="s">
        <v>65</v>
      </c>
      <c r="G29" s="14" t="s">
        <v>369</v>
      </c>
      <c r="H29" s="14">
        <f>SUMIF($E$12:$E$81,"Salário",$C$12:$C$81)</f>
        <v>1249.79</v>
      </c>
    </row>
    <row r="30" spans="1:9">
      <c r="A30" s="14">
        <v>46144</v>
      </c>
      <c r="B30" s="14" t="s">
        <v>477</v>
      </c>
      <c r="D30" s="14">
        <v>26</v>
      </c>
      <c r="E30" s="14" t="s">
        <v>65</v>
      </c>
      <c r="G30" s="14" t="s">
        <v>368</v>
      </c>
      <c r="H30" s="14">
        <f>SUMIF($E$12:$E$81,"Recebimento",$C$12:$C$81)</f>
        <v>11288</v>
      </c>
    </row>
    <row r="31" spans="1:9">
      <c r="A31" s="14">
        <v>46144</v>
      </c>
      <c r="B31" s="14" t="s">
        <v>478</v>
      </c>
      <c r="D31" s="14">
        <v>24</v>
      </c>
      <c r="E31" s="14" t="s">
        <v>65</v>
      </c>
      <c r="G31" s="14" t="s">
        <v>5</v>
      </c>
      <c r="H31" s="14">
        <f>SUMIF($E$12:$E$81,"Reembolso",$C$12:$C$81)</f>
        <v>1197.31</v>
      </c>
    </row>
    <row r="32" spans="1:9">
      <c r="A32" s="14">
        <v>46144</v>
      </c>
      <c r="B32" s="14" t="s">
        <v>479</v>
      </c>
      <c r="D32" s="14">
        <v>200</v>
      </c>
      <c r="E32" s="14" t="s">
        <v>63</v>
      </c>
      <c r="G32" s="14" t="s">
        <v>58</v>
      </c>
      <c r="H32" s="14">
        <f>SUMIF($E$12:$E$81,"Transferência Interna",$C$12:$C$81)</f>
        <v>7237.17</v>
      </c>
    </row>
    <row r="33" spans="1:8">
      <c r="A33" s="14">
        <v>46144</v>
      </c>
      <c r="B33" s="14" t="s">
        <v>364</v>
      </c>
      <c r="D33" s="14">
        <v>1760</v>
      </c>
      <c r="E33" s="14" t="s">
        <v>63</v>
      </c>
      <c r="G33" s="30" t="s">
        <v>424</v>
      </c>
      <c r="H33" s="30">
        <f>SUM(H29:H32)</f>
        <v>20972.27</v>
      </c>
    </row>
    <row r="34" spans="1:8">
      <c r="A34" s="14">
        <v>46144</v>
      </c>
      <c r="B34" s="14" t="s">
        <v>480</v>
      </c>
      <c r="C34" s="14">
        <v>260</v>
      </c>
      <c r="E34" s="14" t="s">
        <v>368</v>
      </c>
    </row>
    <row r="35" spans="1:8">
      <c r="A35" s="14">
        <v>46144</v>
      </c>
      <c r="B35" s="14" t="s">
        <v>367</v>
      </c>
      <c r="C35" s="14">
        <v>1500</v>
      </c>
      <c r="E35" s="14" t="s">
        <v>368</v>
      </c>
    </row>
    <row r="36" spans="1:8">
      <c r="A36" s="14">
        <v>46144</v>
      </c>
      <c r="B36" s="14" t="s">
        <v>374</v>
      </c>
      <c r="C36" s="14">
        <v>273.58999999999997</v>
      </c>
      <c r="E36" s="14" t="s">
        <v>5</v>
      </c>
    </row>
    <row r="37" spans="1:8">
      <c r="A37" s="14">
        <v>46144</v>
      </c>
      <c r="B37" s="14" t="s">
        <v>370</v>
      </c>
      <c r="D37" s="14">
        <v>323.87</v>
      </c>
      <c r="E37" s="14" t="s">
        <v>81</v>
      </c>
    </row>
    <row r="38" spans="1:8">
      <c r="A38" s="14">
        <v>46175</v>
      </c>
      <c r="B38" s="14" t="s">
        <v>481</v>
      </c>
      <c r="D38" s="14">
        <v>270</v>
      </c>
      <c r="E38" s="14" t="s">
        <v>66</v>
      </c>
    </row>
    <row r="39" spans="1:8">
      <c r="A39" s="14">
        <v>46175</v>
      </c>
      <c r="B39" s="14" t="s">
        <v>364</v>
      </c>
      <c r="D39" s="14">
        <v>220</v>
      </c>
      <c r="E39" s="14" t="s">
        <v>63</v>
      </c>
    </row>
    <row r="40" spans="1:8">
      <c r="A40" s="14">
        <v>46267</v>
      </c>
      <c r="B40" s="14" t="s">
        <v>482</v>
      </c>
      <c r="D40" s="14">
        <v>766.06</v>
      </c>
      <c r="E40" s="14" t="s">
        <v>72</v>
      </c>
    </row>
    <row r="41" spans="1:8">
      <c r="A41" s="14">
        <v>46297</v>
      </c>
      <c r="B41" s="14" t="s">
        <v>381</v>
      </c>
      <c r="D41" s="14">
        <v>2278.3000000000002</v>
      </c>
      <c r="E41" s="14" t="s">
        <v>44</v>
      </c>
    </row>
    <row r="42" spans="1:8">
      <c r="A42" s="14">
        <v>46297</v>
      </c>
      <c r="B42" s="14" t="s">
        <v>483</v>
      </c>
      <c r="D42" s="14">
        <v>44.65</v>
      </c>
      <c r="E42" s="14" t="s">
        <v>65</v>
      </c>
    </row>
    <row r="43" spans="1:8">
      <c r="A43" s="14">
        <v>46297</v>
      </c>
      <c r="B43" s="14" t="s">
        <v>484</v>
      </c>
      <c r="D43" s="14">
        <v>39.99</v>
      </c>
      <c r="E43" s="14" t="s">
        <v>353</v>
      </c>
    </row>
    <row r="44" spans="1:8">
      <c r="A44" s="14">
        <v>46297</v>
      </c>
      <c r="B44" s="14" t="s">
        <v>484</v>
      </c>
      <c r="D44" s="14">
        <v>45.21</v>
      </c>
      <c r="E44" s="14" t="s">
        <v>353</v>
      </c>
    </row>
    <row r="45" spans="1:8">
      <c r="A45" s="14">
        <v>46297</v>
      </c>
      <c r="B45" s="14" t="s">
        <v>452</v>
      </c>
      <c r="D45" s="14">
        <v>38</v>
      </c>
      <c r="E45" s="14" t="s">
        <v>63</v>
      </c>
    </row>
    <row r="46" spans="1:8">
      <c r="A46" s="14">
        <v>46328</v>
      </c>
      <c r="B46" s="14" t="s">
        <v>485</v>
      </c>
      <c r="D46" s="14">
        <v>16.95</v>
      </c>
      <c r="E46" s="14" t="s">
        <v>65</v>
      </c>
    </row>
    <row r="47" spans="1:8">
      <c r="A47" s="14">
        <v>46328</v>
      </c>
      <c r="B47" s="14" t="s">
        <v>449</v>
      </c>
      <c r="D47" s="14">
        <v>100</v>
      </c>
      <c r="E47" s="14" t="s">
        <v>63</v>
      </c>
    </row>
    <row r="48" spans="1:8">
      <c r="A48" s="14">
        <v>46328</v>
      </c>
      <c r="B48" s="14" t="s">
        <v>383</v>
      </c>
      <c r="C48" s="14">
        <v>45</v>
      </c>
      <c r="E48" s="14" t="s">
        <v>368</v>
      </c>
    </row>
    <row r="49" spans="1:5">
      <c r="A49" s="14">
        <v>46358</v>
      </c>
      <c r="B49" s="14" t="s">
        <v>358</v>
      </c>
      <c r="C49" s="14">
        <v>3237.17</v>
      </c>
      <c r="E49" s="14" t="s">
        <v>58</v>
      </c>
    </row>
    <row r="50" spans="1:5">
      <c r="A50" s="14" t="s">
        <v>486</v>
      </c>
      <c r="B50" s="14" t="s">
        <v>487</v>
      </c>
      <c r="D50" s="14">
        <v>6403.15</v>
      </c>
      <c r="E50" s="14" t="s">
        <v>45</v>
      </c>
    </row>
    <row r="51" spans="1:5">
      <c r="A51" s="14" t="s">
        <v>486</v>
      </c>
      <c r="B51" s="14" t="s">
        <v>488</v>
      </c>
      <c r="D51" s="14">
        <v>233.77</v>
      </c>
      <c r="E51" s="14" t="s">
        <v>65</v>
      </c>
    </row>
    <row r="52" spans="1:5">
      <c r="A52" s="14" t="s">
        <v>486</v>
      </c>
      <c r="B52" s="14" t="s">
        <v>489</v>
      </c>
      <c r="D52" s="14">
        <v>150</v>
      </c>
      <c r="E52" s="14" t="s">
        <v>471</v>
      </c>
    </row>
    <row r="53" spans="1:5">
      <c r="A53" s="14" t="s">
        <v>486</v>
      </c>
      <c r="B53" s="14" t="s">
        <v>490</v>
      </c>
      <c r="D53" s="14">
        <v>5</v>
      </c>
      <c r="E53" s="14" t="s">
        <v>65</v>
      </c>
    </row>
    <row r="54" spans="1:5">
      <c r="A54" s="14" t="s">
        <v>486</v>
      </c>
      <c r="B54" s="14" t="s">
        <v>376</v>
      </c>
      <c r="D54" s="14">
        <v>143.91</v>
      </c>
      <c r="E54" s="14" t="s">
        <v>78</v>
      </c>
    </row>
    <row r="55" spans="1:5">
      <c r="A55" s="14" t="s">
        <v>486</v>
      </c>
      <c r="B55" s="14" t="s">
        <v>491</v>
      </c>
      <c r="D55" s="14">
        <v>343.55</v>
      </c>
      <c r="E55" s="14" t="s">
        <v>68</v>
      </c>
    </row>
    <row r="56" spans="1:5">
      <c r="A56" s="14" t="s">
        <v>486</v>
      </c>
      <c r="B56" s="14" t="s">
        <v>492</v>
      </c>
      <c r="D56" s="14">
        <v>56</v>
      </c>
      <c r="E56" s="14" t="s">
        <v>65</v>
      </c>
    </row>
    <row r="57" spans="1:5">
      <c r="A57" s="14" t="s">
        <v>486</v>
      </c>
      <c r="B57" s="14" t="s">
        <v>446</v>
      </c>
      <c r="D57" s="14">
        <v>215</v>
      </c>
      <c r="E57" s="14" t="s">
        <v>63</v>
      </c>
    </row>
    <row r="58" spans="1:5">
      <c r="A58" s="14" t="s">
        <v>486</v>
      </c>
      <c r="B58" s="14" t="s">
        <v>452</v>
      </c>
      <c r="D58" s="14">
        <v>30</v>
      </c>
      <c r="E58" s="14" t="s">
        <v>63</v>
      </c>
    </row>
    <row r="59" spans="1:5">
      <c r="A59" s="14" t="s">
        <v>486</v>
      </c>
      <c r="B59" s="14" t="s">
        <v>364</v>
      </c>
      <c r="D59" s="14">
        <v>300</v>
      </c>
      <c r="E59" s="14" t="s">
        <v>63</v>
      </c>
    </row>
    <row r="60" spans="1:5">
      <c r="A60" s="14" t="s">
        <v>486</v>
      </c>
      <c r="B60" s="14" t="s">
        <v>358</v>
      </c>
      <c r="C60" s="14">
        <v>4000</v>
      </c>
      <c r="E60" s="14" t="s">
        <v>58</v>
      </c>
    </row>
    <row r="61" spans="1:5">
      <c r="A61" s="14" t="s">
        <v>486</v>
      </c>
      <c r="B61" s="14" t="s">
        <v>367</v>
      </c>
      <c r="C61" s="14">
        <v>1120</v>
      </c>
      <c r="E61" s="14" t="s">
        <v>368</v>
      </c>
    </row>
    <row r="62" spans="1:5">
      <c r="A62" s="14" t="s">
        <v>486</v>
      </c>
      <c r="B62" s="14" t="s">
        <v>374</v>
      </c>
      <c r="C62" s="14">
        <v>693.95</v>
      </c>
      <c r="E62" s="14" t="s">
        <v>5</v>
      </c>
    </row>
    <row r="63" spans="1:5">
      <c r="A63" s="14" t="s">
        <v>486</v>
      </c>
      <c r="B63" s="14" t="s">
        <v>388</v>
      </c>
      <c r="D63" s="14">
        <v>105.48</v>
      </c>
      <c r="E63" s="14" t="s">
        <v>60</v>
      </c>
    </row>
    <row r="64" spans="1:5">
      <c r="A64" s="14" t="s">
        <v>493</v>
      </c>
      <c r="B64" s="14" t="s">
        <v>494</v>
      </c>
      <c r="D64" s="14">
        <v>14</v>
      </c>
      <c r="E64" s="14" t="s">
        <v>65</v>
      </c>
    </row>
    <row r="65" spans="1:5">
      <c r="A65" s="14" t="s">
        <v>493</v>
      </c>
      <c r="B65" s="14" t="s">
        <v>495</v>
      </c>
      <c r="D65" s="14">
        <v>46.39</v>
      </c>
      <c r="E65" s="14" t="s">
        <v>65</v>
      </c>
    </row>
    <row r="66" spans="1:5">
      <c r="A66" s="14" t="s">
        <v>493</v>
      </c>
      <c r="B66" s="14" t="s">
        <v>496</v>
      </c>
      <c r="D66" s="14">
        <v>216.75</v>
      </c>
      <c r="E66" s="14" t="s">
        <v>65</v>
      </c>
    </row>
    <row r="67" spans="1:5">
      <c r="A67" s="14" t="s">
        <v>497</v>
      </c>
      <c r="B67" s="14" t="s">
        <v>358</v>
      </c>
      <c r="D67" s="14">
        <v>964</v>
      </c>
      <c r="E67" s="14" t="s">
        <v>58</v>
      </c>
    </row>
    <row r="68" spans="1:5">
      <c r="A68" s="14" t="s">
        <v>497</v>
      </c>
      <c r="B68" s="14" t="s">
        <v>498</v>
      </c>
      <c r="D68" s="14">
        <v>578.13</v>
      </c>
      <c r="E68" s="14" t="s">
        <v>469</v>
      </c>
    </row>
    <row r="69" spans="1:5">
      <c r="A69" s="14" t="s">
        <v>497</v>
      </c>
      <c r="B69" s="14" t="s">
        <v>499</v>
      </c>
      <c r="D69" s="14">
        <v>411.21</v>
      </c>
      <c r="E69" s="14" t="s">
        <v>65</v>
      </c>
    </row>
    <row r="70" spans="1:5">
      <c r="A70" s="14" t="s">
        <v>497</v>
      </c>
      <c r="B70" s="14" t="s">
        <v>374</v>
      </c>
      <c r="C70" s="14">
        <v>229.77</v>
      </c>
      <c r="E70" s="14" t="s">
        <v>5</v>
      </c>
    </row>
    <row r="71" spans="1:5">
      <c r="A71" s="14" t="s">
        <v>500</v>
      </c>
      <c r="B71" s="14" t="s">
        <v>501</v>
      </c>
      <c r="D71" s="14">
        <v>30.1</v>
      </c>
      <c r="E71" s="14" t="s">
        <v>65</v>
      </c>
    </row>
    <row r="72" spans="1:5">
      <c r="A72" s="14" t="s">
        <v>500</v>
      </c>
      <c r="B72" s="14" t="s">
        <v>485</v>
      </c>
      <c r="D72" s="14">
        <v>11.95</v>
      </c>
      <c r="E72" s="14" t="s">
        <v>65</v>
      </c>
    </row>
    <row r="73" spans="1:5">
      <c r="A73" s="14" t="s">
        <v>500</v>
      </c>
      <c r="B73" s="14" t="s">
        <v>502</v>
      </c>
      <c r="D73" s="14">
        <v>34</v>
      </c>
      <c r="E73" s="14" t="s">
        <v>63</v>
      </c>
    </row>
    <row r="74" spans="1:5">
      <c r="A74" s="14" t="s">
        <v>503</v>
      </c>
      <c r="B74" s="14" t="s">
        <v>504</v>
      </c>
      <c r="D74" s="14">
        <v>234.31</v>
      </c>
      <c r="E74" s="14" t="s">
        <v>68</v>
      </c>
    </row>
    <row r="75" spans="1:5">
      <c r="A75" s="14" t="s">
        <v>503</v>
      </c>
      <c r="B75" s="14" t="s">
        <v>505</v>
      </c>
      <c r="D75" s="14">
        <v>59.5</v>
      </c>
      <c r="E75" s="14" t="s">
        <v>68</v>
      </c>
    </row>
    <row r="76" spans="1:5">
      <c r="A76" s="14" t="s">
        <v>503</v>
      </c>
      <c r="B76" s="14" t="s">
        <v>367</v>
      </c>
      <c r="C76" s="14">
        <v>453</v>
      </c>
      <c r="E76" s="14" t="s">
        <v>368</v>
      </c>
    </row>
    <row r="77" spans="1:5">
      <c r="A77" s="14" t="s">
        <v>506</v>
      </c>
      <c r="B77" s="14" t="s">
        <v>507</v>
      </c>
      <c r="D77" s="14">
        <v>27</v>
      </c>
      <c r="E77" s="14" t="s">
        <v>416</v>
      </c>
    </row>
    <row r="78" spans="1:5">
      <c r="A78" s="14" t="s">
        <v>506</v>
      </c>
      <c r="B78" s="14" t="s">
        <v>508</v>
      </c>
      <c r="D78" s="14">
        <v>124</v>
      </c>
      <c r="E78" s="14" t="s">
        <v>68</v>
      </c>
    </row>
    <row r="79" spans="1:5">
      <c r="A79" s="14" t="s">
        <v>506</v>
      </c>
      <c r="B79" s="14" t="s">
        <v>509</v>
      </c>
      <c r="C79" s="14">
        <v>30</v>
      </c>
      <c r="E79" s="14" t="s">
        <v>368</v>
      </c>
    </row>
    <row r="80" spans="1:5">
      <c r="A80" s="14" t="s">
        <v>510</v>
      </c>
      <c r="B80" s="14" t="s">
        <v>501</v>
      </c>
      <c r="D80" s="14">
        <v>204.44</v>
      </c>
      <c r="E80" s="14" t="s">
        <v>65</v>
      </c>
    </row>
    <row r="81" spans="1:5">
      <c r="A81" s="14" t="s">
        <v>510</v>
      </c>
      <c r="B81" s="14" t="s">
        <v>398</v>
      </c>
      <c r="C81" s="14">
        <v>1249.79</v>
      </c>
      <c r="E81" s="14" t="s">
        <v>369</v>
      </c>
    </row>
    <row r="83" spans="1:5">
      <c r="A83" s="25"/>
      <c r="B83" s="25" t="s">
        <v>462</v>
      </c>
      <c r="C83" s="25">
        <f>SUM(C12:C81)</f>
        <v>20972.270000000004</v>
      </c>
      <c r="D83" s="25"/>
    </row>
    <row r="84" spans="1:5">
      <c r="A84" s="25"/>
      <c r="B84" s="25" t="s">
        <v>463</v>
      </c>
      <c r="C84" s="25"/>
      <c r="D84" s="25">
        <f>SUM(D12:D81)</f>
        <v>32688.760000000002</v>
      </c>
    </row>
    <row r="85" spans="1:5">
      <c r="A85" s="25"/>
      <c r="B85" s="25" t="s">
        <v>464</v>
      </c>
      <c r="C85" s="25">
        <f>C83-D84</f>
        <v>-11716.489999999998</v>
      </c>
      <c r="D85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27C2-5745-433F-86D0-1EB8CC25AADE}">
  <dimension ref="A1:I63"/>
  <sheetViews>
    <sheetView workbookViewId="0">
      <selection activeCell="J22" sqref="J22"/>
    </sheetView>
  </sheetViews>
  <sheetFormatPr defaultColWidth="9.33203125" defaultRowHeight="13.15"/>
  <cols>
    <col min="1" max="1" width="13.33203125" style="14" customWidth="1"/>
    <col min="2" max="2" width="53.33203125" style="14" customWidth="1"/>
    <col min="3" max="4" width="22.1640625" style="14" customWidth="1"/>
    <col min="5" max="5" width="26.6640625" style="14" customWidth="1"/>
    <col min="6" max="6" width="9.33203125" style="14"/>
    <col min="7" max="7" width="37.83203125" style="14" customWidth="1"/>
    <col min="8" max="8" width="22.1640625" style="14" customWidth="1"/>
    <col min="9" max="9" width="15.5" style="14" customWidth="1"/>
    <col min="10" max="16384" width="9.33203125" style="14"/>
  </cols>
  <sheetData>
    <row r="1" spans="1:9" ht="17.45">
      <c r="A1" s="19" t="s">
        <v>511</v>
      </c>
    </row>
    <row r="2" spans="1:9">
      <c r="A2" s="20" t="s">
        <v>338</v>
      </c>
    </row>
    <row r="4" spans="1:9">
      <c r="A4" s="21" t="s">
        <v>339</v>
      </c>
      <c r="G4" s="21" t="s">
        <v>340</v>
      </c>
    </row>
    <row r="5" spans="1:9">
      <c r="A5" s="14" t="s">
        <v>512</v>
      </c>
      <c r="B5" s="14">
        <v>20656.2</v>
      </c>
      <c r="G5" s="29" t="s">
        <v>50</v>
      </c>
      <c r="H5" s="29" t="s">
        <v>342</v>
      </c>
      <c r="I5" s="29" t="s">
        <v>343</v>
      </c>
    </row>
    <row r="6" spans="1:9">
      <c r="A6" s="14" t="s">
        <v>344</v>
      </c>
      <c r="B6" s="14">
        <v>1</v>
      </c>
      <c r="G6" s="14" t="s">
        <v>38</v>
      </c>
      <c r="H6" s="14">
        <f>SUMIF($E$12:$E$58,"Cartão",$D$12:$D$58)</f>
        <v>13720.41</v>
      </c>
      <c r="I6" s="14">
        <f t="shared" ref="I6:I20" si="0">H6/$H$21</f>
        <v>0.42077195853373328</v>
      </c>
    </row>
    <row r="7" spans="1:9">
      <c r="A7" s="14" t="s">
        <v>345</v>
      </c>
      <c r="B7" s="14">
        <v>26010.36</v>
      </c>
      <c r="G7" s="14" t="s">
        <v>45</v>
      </c>
      <c r="H7" s="14">
        <f>SUMIF($E$12:$E$58,"Financiamento",$D$12:$D$58)</f>
        <v>6404.82</v>
      </c>
      <c r="I7" s="14">
        <f t="shared" si="0"/>
        <v>0.19642041713447525</v>
      </c>
    </row>
    <row r="8" spans="1:9">
      <c r="A8" s="14" t="s">
        <v>346</v>
      </c>
      <c r="B8" s="14">
        <v>26011.360000000001</v>
      </c>
      <c r="G8" s="14" t="s">
        <v>59</v>
      </c>
      <c r="H8" s="14">
        <f>SUMIF($E$12:$E$58,"Condomínio",$D$12:$D$58)</f>
        <v>2340.9499999999998</v>
      </c>
      <c r="I8" s="14">
        <f t="shared" si="0"/>
        <v>7.1791303345129107E-2</v>
      </c>
    </row>
    <row r="9" spans="1:9">
      <c r="A9" s="14" t="s">
        <v>513</v>
      </c>
      <c r="B9" s="14">
        <v>44369.62</v>
      </c>
      <c r="G9" s="14" t="s">
        <v>66</v>
      </c>
      <c r="H9" s="14">
        <f>SUMIF($E$12:$E$58,"Terapia",$D$12:$D$58)</f>
        <v>3380</v>
      </c>
      <c r="I9" s="14">
        <f t="shared" si="0"/>
        <v>0.10365646652279477</v>
      </c>
    </row>
    <row r="10" spans="1:9">
      <c r="G10" s="14" t="s">
        <v>63</v>
      </c>
      <c r="H10" s="14">
        <f>SUMIF($E$12:$E$58,"Transferência",$D$12:$D$58)</f>
        <v>1371.5</v>
      </c>
      <c r="I10" s="14">
        <f t="shared" si="0"/>
        <v>4.2060604685210952E-2</v>
      </c>
    </row>
    <row r="11" spans="1:9">
      <c r="A11" s="15" t="s">
        <v>350</v>
      </c>
      <c r="B11" s="15" t="s">
        <v>351</v>
      </c>
      <c r="C11" s="15" t="s">
        <v>352</v>
      </c>
      <c r="D11" s="15" t="s">
        <v>342</v>
      </c>
      <c r="E11" s="15" t="s">
        <v>50</v>
      </c>
      <c r="G11" s="14" t="s">
        <v>78</v>
      </c>
      <c r="H11" s="14">
        <f>SUMIF($E$12:$E$58,"Farmácia",$D$12:$D$58)</f>
        <v>984.2</v>
      </c>
      <c r="I11" s="14">
        <f t="shared" si="0"/>
        <v>3.0183045666193672E-2</v>
      </c>
    </row>
    <row r="12" spans="1:9">
      <c r="A12" s="14">
        <v>46026</v>
      </c>
      <c r="B12" s="14" t="s">
        <v>363</v>
      </c>
      <c r="D12" s="14">
        <v>58.49</v>
      </c>
      <c r="E12" s="14" t="s">
        <v>65</v>
      </c>
      <c r="G12" s="14" t="s">
        <v>361</v>
      </c>
      <c r="H12" s="14">
        <f>SUMIF($E$12:$E$58,"Pagamento",$D$12:$D$58)</f>
        <v>1237.05</v>
      </c>
      <c r="I12" s="14">
        <f t="shared" si="0"/>
        <v>3.7937346719533506E-2</v>
      </c>
    </row>
    <row r="13" spans="1:9">
      <c r="A13" s="14">
        <v>46026</v>
      </c>
      <c r="B13" s="14" t="s">
        <v>514</v>
      </c>
      <c r="D13" s="14">
        <v>3200</v>
      </c>
      <c r="E13" s="14" t="s">
        <v>66</v>
      </c>
      <c r="G13" s="14" t="s">
        <v>56</v>
      </c>
      <c r="H13" s="14">
        <f>SUMIF($E$12:$E$58,"Investimento",$D$12:$D$58)</f>
        <v>1000</v>
      </c>
      <c r="I13" s="14">
        <f t="shared" si="0"/>
        <v>3.0667593645797266E-2</v>
      </c>
    </row>
    <row r="14" spans="1:9">
      <c r="A14" s="14">
        <v>46026</v>
      </c>
      <c r="B14" s="14" t="s">
        <v>452</v>
      </c>
      <c r="D14" s="14">
        <v>50</v>
      </c>
      <c r="E14" s="14" t="s">
        <v>63</v>
      </c>
      <c r="G14" s="14" t="s">
        <v>72</v>
      </c>
      <c r="H14" s="14">
        <f>SUMIF($E$12:$E$58,"IPTU",$D$12:$D$58)</f>
        <v>766.06</v>
      </c>
      <c r="I14" s="14">
        <f t="shared" si="0"/>
        <v>2.3493216788299454E-2</v>
      </c>
    </row>
    <row r="15" spans="1:9">
      <c r="A15" s="14">
        <v>46026</v>
      </c>
      <c r="B15" s="14" t="s">
        <v>356</v>
      </c>
      <c r="D15" s="14">
        <v>206.39</v>
      </c>
      <c r="E15" s="14" t="s">
        <v>38</v>
      </c>
      <c r="G15" s="14" t="s">
        <v>65</v>
      </c>
      <c r="H15" s="14">
        <f>SUMIF($E$12:$E$58,"Compras",$D$12:$D$58)</f>
        <v>420.13</v>
      </c>
      <c r="I15" s="14">
        <f t="shared" si="0"/>
        <v>1.2884376118408807E-2</v>
      </c>
    </row>
    <row r="16" spans="1:9">
      <c r="A16" s="14">
        <v>46026</v>
      </c>
      <c r="B16" s="14" t="s">
        <v>357</v>
      </c>
      <c r="D16" s="14">
        <v>13514.02</v>
      </c>
      <c r="E16" s="14" t="s">
        <v>38</v>
      </c>
      <c r="G16" s="14" t="s">
        <v>81</v>
      </c>
      <c r="H16" s="14">
        <f>SUMIF($E$12:$E$58,"Internet/TV",$D$12:$D$58)</f>
        <v>323.87</v>
      </c>
      <c r="I16" s="14">
        <f t="shared" si="0"/>
        <v>9.932313554064362E-3</v>
      </c>
    </row>
    <row r="17" spans="1:9">
      <c r="A17" s="14">
        <v>46026</v>
      </c>
      <c r="B17" s="14" t="s">
        <v>374</v>
      </c>
      <c r="C17" s="14">
        <v>99</v>
      </c>
      <c r="E17" s="14" t="s">
        <v>5</v>
      </c>
      <c r="G17" s="14" t="s">
        <v>76</v>
      </c>
      <c r="H17" s="14">
        <f>SUMIF($E$12:$E$58,"Conta Luz",$D$12:$D$58)</f>
        <v>334.46</v>
      </c>
      <c r="I17" s="14">
        <f t="shared" si="0"/>
        <v>1.0257083370773353E-2</v>
      </c>
    </row>
    <row r="18" spans="1:9">
      <c r="A18" s="14">
        <v>46057</v>
      </c>
      <c r="B18" s="14" t="s">
        <v>359</v>
      </c>
      <c r="D18" s="14">
        <v>334.46</v>
      </c>
      <c r="E18" s="14" t="s">
        <v>76</v>
      </c>
      <c r="G18" s="14" t="s">
        <v>44</v>
      </c>
      <c r="H18" s="14">
        <f>SUMIF($E$12:$E$58,"Escola",$D$12:$D$58)</f>
        <v>193</v>
      </c>
      <c r="I18" s="14">
        <f t="shared" si="0"/>
        <v>5.9188455736388723E-3</v>
      </c>
    </row>
    <row r="19" spans="1:9">
      <c r="A19" s="14">
        <v>46146</v>
      </c>
      <c r="B19" s="14" t="s">
        <v>367</v>
      </c>
      <c r="C19" s="14">
        <v>2600</v>
      </c>
      <c r="E19" s="14" t="s">
        <v>368</v>
      </c>
      <c r="G19" s="14" t="s">
        <v>416</v>
      </c>
      <c r="H19" s="14">
        <f>SUMIF($E$12:$E$58,"Transporte",$D$12:$D$58)</f>
        <v>25.78</v>
      </c>
      <c r="I19" s="14">
        <f t="shared" si="0"/>
        <v>7.9061056418865355E-4</v>
      </c>
    </row>
    <row r="20" spans="1:9">
      <c r="A20" s="14">
        <v>46177</v>
      </c>
      <c r="B20" s="14" t="s">
        <v>367</v>
      </c>
      <c r="C20" s="14">
        <v>2200</v>
      </c>
      <c r="E20" s="14" t="s">
        <v>368</v>
      </c>
      <c r="G20" s="14" t="s">
        <v>60</v>
      </c>
      <c r="H20" s="14">
        <f>SUMIF($E$12:$E$58,"Seguro",$D$12:$D$58)</f>
        <v>105.48</v>
      </c>
      <c r="I20" s="14">
        <f t="shared" si="0"/>
        <v>3.2348177777586961E-3</v>
      </c>
    </row>
    <row r="21" spans="1:9">
      <c r="A21" s="14">
        <v>46177</v>
      </c>
      <c r="B21" s="14" t="s">
        <v>515</v>
      </c>
      <c r="D21" s="14">
        <v>2340.9499999999998</v>
      </c>
      <c r="E21" s="14" t="s">
        <v>59</v>
      </c>
      <c r="G21" s="31" t="s">
        <v>87</v>
      </c>
      <c r="H21" s="31">
        <f>SUM(H6:H20)</f>
        <v>32607.71</v>
      </c>
      <c r="I21" s="31">
        <v>1</v>
      </c>
    </row>
    <row r="22" spans="1:9">
      <c r="A22" s="14">
        <v>46177</v>
      </c>
      <c r="B22" s="14" t="s">
        <v>370</v>
      </c>
      <c r="D22" s="14">
        <v>323.87</v>
      </c>
      <c r="E22" s="14" t="s">
        <v>81</v>
      </c>
      <c r="G22" s="15" t="s">
        <v>365</v>
      </c>
    </row>
    <row r="23" spans="1:9">
      <c r="A23" s="14">
        <v>46207</v>
      </c>
      <c r="B23" s="14" t="s">
        <v>452</v>
      </c>
      <c r="D23" s="14">
        <v>89</v>
      </c>
      <c r="E23" s="14" t="s">
        <v>63</v>
      </c>
      <c r="G23" s="15" t="s">
        <v>365</v>
      </c>
    </row>
    <row r="24" spans="1:9">
      <c r="A24" s="14">
        <v>46207</v>
      </c>
      <c r="B24" s="14" t="s">
        <v>367</v>
      </c>
      <c r="C24" s="14">
        <v>2000</v>
      </c>
      <c r="E24" s="14" t="s">
        <v>368</v>
      </c>
      <c r="G24" s="29" t="s">
        <v>50</v>
      </c>
      <c r="H24" s="29" t="s">
        <v>366</v>
      </c>
    </row>
    <row r="25" spans="1:9">
      <c r="A25" s="14">
        <v>46207</v>
      </c>
      <c r="B25" s="14" t="s">
        <v>367</v>
      </c>
      <c r="C25" s="14">
        <v>400</v>
      </c>
      <c r="E25" s="14" t="s">
        <v>368</v>
      </c>
      <c r="G25" s="14" t="s">
        <v>369</v>
      </c>
      <c r="H25" s="14">
        <f>SUMIF($E$12:$E$58,"Salário",$C$12:$C$58)</f>
        <v>21529.82</v>
      </c>
    </row>
    <row r="26" spans="1:9">
      <c r="A26" s="14">
        <v>46238</v>
      </c>
      <c r="B26" s="14" t="s">
        <v>459</v>
      </c>
      <c r="D26" s="14">
        <v>12</v>
      </c>
      <c r="E26" s="14" t="s">
        <v>416</v>
      </c>
      <c r="G26" s="14" t="s">
        <v>371</v>
      </c>
      <c r="H26" s="14">
        <f>SUMIF($E$12:$E$58,"Recebimento",$C$12:$C$58)</f>
        <v>15640</v>
      </c>
    </row>
    <row r="27" spans="1:9">
      <c r="A27" s="14">
        <v>46238</v>
      </c>
      <c r="B27" s="14" t="s">
        <v>383</v>
      </c>
      <c r="C27" s="14">
        <v>50</v>
      </c>
      <c r="E27" s="14" t="s">
        <v>368</v>
      </c>
      <c r="G27" s="14" t="s">
        <v>373</v>
      </c>
      <c r="H27" s="14">
        <f>SUMIF($E$12:$E$58,"Reembolso",$C$12:$C$58)</f>
        <v>399.07</v>
      </c>
    </row>
    <row r="28" spans="1:9">
      <c r="A28" s="14">
        <v>46238</v>
      </c>
      <c r="B28" s="14" t="s">
        <v>367</v>
      </c>
      <c r="C28" s="14">
        <v>700</v>
      </c>
      <c r="E28" s="14" t="s">
        <v>368</v>
      </c>
      <c r="G28" s="14" t="s">
        <v>377</v>
      </c>
      <c r="H28" s="14">
        <f>SUMIF($E$12:$E$58,"Devolução",$C$12:$C$58)</f>
        <v>392.56</v>
      </c>
    </row>
    <row r="29" spans="1:9">
      <c r="A29" s="14">
        <v>46269</v>
      </c>
      <c r="B29" s="14" t="s">
        <v>420</v>
      </c>
      <c r="D29" s="14">
        <v>766.06</v>
      </c>
      <c r="E29" s="14" t="s">
        <v>72</v>
      </c>
      <c r="G29" s="32" t="s">
        <v>424</v>
      </c>
      <c r="H29" s="32">
        <f>SUM(H25:H28)</f>
        <v>37961.449999999997</v>
      </c>
    </row>
    <row r="30" spans="1:9">
      <c r="A30" s="14">
        <v>46269</v>
      </c>
      <c r="B30" s="14" t="s">
        <v>367</v>
      </c>
      <c r="C30" s="14">
        <v>750</v>
      </c>
      <c r="E30" s="14" t="s">
        <v>368</v>
      </c>
    </row>
    <row r="31" spans="1:9">
      <c r="A31" s="14">
        <v>46299</v>
      </c>
      <c r="B31" s="14" t="s">
        <v>452</v>
      </c>
      <c r="D31" s="14">
        <v>22</v>
      </c>
      <c r="E31" s="14" t="s">
        <v>63</v>
      </c>
    </row>
    <row r="32" spans="1:9">
      <c r="A32" s="14">
        <v>46360</v>
      </c>
      <c r="B32" s="14" t="s">
        <v>516</v>
      </c>
      <c r="D32" s="14">
        <v>24</v>
      </c>
      <c r="E32" s="14" t="s">
        <v>63</v>
      </c>
    </row>
    <row r="33" spans="1:5">
      <c r="A33" s="14" t="s">
        <v>517</v>
      </c>
      <c r="B33" s="14" t="s">
        <v>459</v>
      </c>
      <c r="D33" s="14">
        <v>13.78</v>
      </c>
      <c r="E33" s="14" t="s">
        <v>416</v>
      </c>
    </row>
    <row r="34" spans="1:5">
      <c r="A34" s="14" t="s">
        <v>517</v>
      </c>
      <c r="B34" s="14" t="s">
        <v>412</v>
      </c>
      <c r="D34" s="14">
        <v>1000</v>
      </c>
      <c r="E34" s="14" t="s">
        <v>56</v>
      </c>
    </row>
    <row r="35" spans="1:5">
      <c r="A35" s="14" t="s">
        <v>518</v>
      </c>
      <c r="B35" s="14" t="s">
        <v>519</v>
      </c>
      <c r="D35" s="14">
        <v>565.09</v>
      </c>
      <c r="E35" s="14" t="s">
        <v>78</v>
      </c>
    </row>
    <row r="36" spans="1:5">
      <c r="A36" s="14" t="s">
        <v>518</v>
      </c>
      <c r="B36" s="14" t="s">
        <v>367</v>
      </c>
      <c r="C36" s="14">
        <v>2000</v>
      </c>
      <c r="E36" s="14" t="s">
        <v>368</v>
      </c>
    </row>
    <row r="37" spans="1:5">
      <c r="A37" s="14" t="s">
        <v>520</v>
      </c>
      <c r="B37" s="14" t="s">
        <v>521</v>
      </c>
      <c r="D37" s="14">
        <v>6404.82</v>
      </c>
      <c r="E37" s="14" t="s">
        <v>45</v>
      </c>
    </row>
    <row r="38" spans="1:5">
      <c r="A38" s="14" t="s">
        <v>520</v>
      </c>
      <c r="B38" s="14" t="s">
        <v>383</v>
      </c>
      <c r="C38" s="14">
        <v>50</v>
      </c>
      <c r="E38" s="14" t="s">
        <v>368</v>
      </c>
    </row>
    <row r="39" spans="1:5">
      <c r="A39" s="14" t="s">
        <v>522</v>
      </c>
      <c r="B39" s="14" t="s">
        <v>398</v>
      </c>
      <c r="C39" s="14">
        <v>4050.39</v>
      </c>
      <c r="E39" s="14" t="s">
        <v>369</v>
      </c>
    </row>
    <row r="40" spans="1:5">
      <c r="A40" s="14" t="s">
        <v>522</v>
      </c>
      <c r="B40" s="14" t="s">
        <v>367</v>
      </c>
      <c r="C40" s="14">
        <v>3390</v>
      </c>
      <c r="E40" s="14" t="s">
        <v>368</v>
      </c>
    </row>
    <row r="41" spans="1:5">
      <c r="A41" s="14" t="s">
        <v>522</v>
      </c>
      <c r="B41" s="14" t="s">
        <v>388</v>
      </c>
      <c r="D41" s="14">
        <v>105.48</v>
      </c>
      <c r="E41" s="14" t="s">
        <v>60</v>
      </c>
    </row>
    <row r="42" spans="1:5">
      <c r="A42" s="14" t="s">
        <v>523</v>
      </c>
      <c r="B42" s="14" t="s">
        <v>364</v>
      </c>
      <c r="D42" s="14">
        <v>220</v>
      </c>
      <c r="E42" s="14" t="s">
        <v>63</v>
      </c>
    </row>
    <row r="43" spans="1:5">
      <c r="A43" s="14" t="s">
        <v>524</v>
      </c>
      <c r="B43" s="14" t="s">
        <v>374</v>
      </c>
      <c r="C43" s="14">
        <v>300.07</v>
      </c>
      <c r="E43" s="14" t="s">
        <v>5</v>
      </c>
    </row>
    <row r="44" spans="1:5">
      <c r="A44" s="14" t="s">
        <v>525</v>
      </c>
      <c r="B44" s="14" t="s">
        <v>526</v>
      </c>
      <c r="D44" s="14">
        <v>190.5</v>
      </c>
      <c r="E44" s="14" t="s">
        <v>63</v>
      </c>
    </row>
    <row r="45" spans="1:5">
      <c r="A45" s="14" t="s">
        <v>527</v>
      </c>
      <c r="B45" s="14" t="s">
        <v>519</v>
      </c>
      <c r="D45" s="14">
        <v>26.31</v>
      </c>
      <c r="E45" s="14" t="s">
        <v>78</v>
      </c>
    </row>
    <row r="46" spans="1:5">
      <c r="A46" s="14" t="s">
        <v>527</v>
      </c>
      <c r="B46" s="14" t="s">
        <v>519</v>
      </c>
      <c r="D46" s="14">
        <v>30.92</v>
      </c>
      <c r="E46" s="14" t="s">
        <v>78</v>
      </c>
    </row>
    <row r="47" spans="1:5">
      <c r="A47" s="14" t="s">
        <v>527</v>
      </c>
      <c r="B47" s="14" t="s">
        <v>528</v>
      </c>
      <c r="C47" s="14">
        <v>30.92</v>
      </c>
      <c r="E47" s="14" t="s">
        <v>377</v>
      </c>
    </row>
    <row r="48" spans="1:5">
      <c r="A48" s="14" t="s">
        <v>529</v>
      </c>
      <c r="B48" s="14" t="s">
        <v>367</v>
      </c>
      <c r="C48" s="14">
        <v>1500</v>
      </c>
      <c r="E48" s="14" t="s">
        <v>368</v>
      </c>
    </row>
    <row r="49" spans="1:5">
      <c r="A49" s="14" t="s">
        <v>530</v>
      </c>
      <c r="B49" s="14" t="s">
        <v>454</v>
      </c>
      <c r="D49" s="14">
        <v>1237.05</v>
      </c>
      <c r="E49" s="14" t="s">
        <v>361</v>
      </c>
    </row>
    <row r="50" spans="1:5">
      <c r="A50" s="14" t="s">
        <v>530</v>
      </c>
      <c r="B50" s="14" t="s">
        <v>531</v>
      </c>
      <c r="D50" s="14">
        <v>700</v>
      </c>
      <c r="E50" s="14" t="s">
        <v>63</v>
      </c>
    </row>
    <row r="51" spans="1:5">
      <c r="A51" s="14" t="s">
        <v>532</v>
      </c>
      <c r="B51" s="14" t="s">
        <v>473</v>
      </c>
      <c r="D51" s="14">
        <v>180</v>
      </c>
      <c r="E51" s="14" t="s">
        <v>66</v>
      </c>
    </row>
    <row r="52" spans="1:5">
      <c r="A52" s="14" t="s">
        <v>532</v>
      </c>
      <c r="B52" s="14" t="s">
        <v>398</v>
      </c>
      <c r="C52" s="14">
        <v>17479.43</v>
      </c>
      <c r="E52" s="14" t="s">
        <v>369</v>
      </c>
    </row>
    <row r="53" spans="1:5">
      <c r="A53" s="14" t="s">
        <v>533</v>
      </c>
      <c r="B53" s="14" t="s">
        <v>534</v>
      </c>
      <c r="D53" s="14">
        <v>110.94</v>
      </c>
      <c r="E53" s="14" t="s">
        <v>78</v>
      </c>
    </row>
    <row r="54" spans="1:5">
      <c r="A54" s="14" t="s">
        <v>533</v>
      </c>
      <c r="B54" s="14" t="s">
        <v>534</v>
      </c>
      <c r="D54" s="14">
        <v>250.94</v>
      </c>
      <c r="E54" s="14" t="s">
        <v>78</v>
      </c>
    </row>
    <row r="55" spans="1:5">
      <c r="A55" s="14" t="s">
        <v>533</v>
      </c>
      <c r="B55" s="14" t="s">
        <v>535</v>
      </c>
      <c r="D55" s="14">
        <v>361.64</v>
      </c>
      <c r="E55" s="14" t="s">
        <v>65</v>
      </c>
    </row>
    <row r="56" spans="1:5">
      <c r="A56" s="14" t="s">
        <v>533</v>
      </c>
      <c r="B56" s="14" t="s">
        <v>536</v>
      </c>
      <c r="D56" s="14">
        <v>193</v>
      </c>
      <c r="E56" s="14" t="s">
        <v>44</v>
      </c>
    </row>
    <row r="57" spans="1:5">
      <c r="A57" s="14" t="s">
        <v>533</v>
      </c>
      <c r="B57" s="14" t="s">
        <v>452</v>
      </c>
      <c r="D57" s="14">
        <v>76</v>
      </c>
      <c r="E57" s="14" t="s">
        <v>63</v>
      </c>
    </row>
    <row r="58" spans="1:5">
      <c r="A58" s="14" t="s">
        <v>533</v>
      </c>
      <c r="B58" s="14" t="s">
        <v>537</v>
      </c>
      <c r="C58" s="14">
        <v>361.64</v>
      </c>
      <c r="E58" s="14" t="s">
        <v>377</v>
      </c>
    </row>
    <row r="60" spans="1:5">
      <c r="A60" s="33" t="s">
        <v>405</v>
      </c>
    </row>
    <row r="61" spans="1:5">
      <c r="B61" s="25" t="s">
        <v>406</v>
      </c>
      <c r="C61" s="14">
        <f>SUM(C12:C58)</f>
        <v>37961.449999999997</v>
      </c>
    </row>
    <row r="62" spans="1:5">
      <c r="B62" s="25" t="s">
        <v>407</v>
      </c>
      <c r="D62" s="14">
        <f>SUM(D12:D58)</f>
        <v>32607.709999999995</v>
      </c>
    </row>
    <row r="63" spans="1:5">
      <c r="B63" s="25" t="s">
        <v>408</v>
      </c>
      <c r="C63" s="14">
        <f>C61-D62</f>
        <v>5353.7400000000016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0113-24CC-484B-8FFA-91A01FD55013}">
  <dimension ref="A1:I63"/>
  <sheetViews>
    <sheetView workbookViewId="0">
      <selection activeCell="H15" sqref="H15"/>
    </sheetView>
  </sheetViews>
  <sheetFormatPr defaultColWidth="9.33203125" defaultRowHeight="13.15"/>
  <cols>
    <col min="1" max="1" width="13.33203125" style="12" customWidth="1"/>
    <col min="2" max="2" width="57.83203125" style="12" customWidth="1"/>
    <col min="3" max="4" width="22.1640625" style="12" customWidth="1"/>
    <col min="5" max="5" width="26.6640625" style="12" customWidth="1"/>
    <col min="6" max="6" width="9.33203125" style="12"/>
    <col min="7" max="7" width="40" style="12" customWidth="1"/>
    <col min="8" max="8" width="22.1640625" style="12" customWidth="1"/>
    <col min="9" max="9" width="15.5" style="12" customWidth="1"/>
    <col min="10" max="16384" width="9.33203125" style="12"/>
  </cols>
  <sheetData>
    <row r="1" spans="1:9" ht="17.45">
      <c r="A1" s="34" t="s">
        <v>538</v>
      </c>
    </row>
    <row r="2" spans="1:9">
      <c r="A2" s="35" t="s">
        <v>338</v>
      </c>
    </row>
    <row r="4" spans="1:9">
      <c r="A4" s="36" t="s">
        <v>339</v>
      </c>
      <c r="G4" s="36" t="s">
        <v>340</v>
      </c>
    </row>
    <row r="5" spans="1:9">
      <c r="A5" s="12" t="s">
        <v>539</v>
      </c>
      <c r="B5" s="12">
        <v>26011.360000000001</v>
      </c>
      <c r="G5" s="16" t="s">
        <v>50</v>
      </c>
      <c r="H5" s="16" t="s">
        <v>342</v>
      </c>
      <c r="I5" s="16" t="s">
        <v>343</v>
      </c>
    </row>
    <row r="6" spans="1:9">
      <c r="A6" s="12" t="s">
        <v>344</v>
      </c>
      <c r="B6" s="12">
        <v>1</v>
      </c>
      <c r="G6" s="12" t="s">
        <v>56</v>
      </c>
      <c r="H6" s="12">
        <f>SUMIF($E$12:$E$58,"Investimento",$D$12:$D$58)</f>
        <v>17000</v>
      </c>
      <c r="I6" s="12">
        <f t="shared" ref="I6:I21" si="0">H6/$H$22</f>
        <v>0.33444263364524374</v>
      </c>
    </row>
    <row r="7" spans="1:9">
      <c r="A7" s="12" t="s">
        <v>345</v>
      </c>
      <c r="B7" s="12">
        <v>21480.28</v>
      </c>
      <c r="G7" s="12" t="s">
        <v>38</v>
      </c>
      <c r="H7" s="12">
        <f>SUMIF($E$12:$E$58,"Cartão",$D$12:$D$58)</f>
        <v>7540.21</v>
      </c>
      <c r="I7" s="12">
        <f t="shared" si="0"/>
        <v>0.14833927591989432</v>
      </c>
    </row>
    <row r="8" spans="1:9">
      <c r="A8" s="12" t="s">
        <v>346</v>
      </c>
      <c r="B8" s="12">
        <v>21481.279999999999</v>
      </c>
      <c r="G8" s="12" t="s">
        <v>44</v>
      </c>
      <c r="H8" s="12">
        <f>SUMIF($E$12:$E$58,"Escola",$D$12:$D$58)</f>
        <v>7206.3</v>
      </c>
      <c r="I8" s="12">
        <f t="shared" si="0"/>
        <v>0.14177023240221884</v>
      </c>
    </row>
    <row r="9" spans="1:9">
      <c r="A9" s="12" t="s">
        <v>513</v>
      </c>
      <c r="B9" s="12">
        <v>61804.98</v>
      </c>
      <c r="G9" s="12" t="s">
        <v>45</v>
      </c>
      <c r="H9" s="12">
        <f>SUMIF($E$12:$E$58,"Financiamento",$D$12:$D$58)</f>
        <v>6408.75</v>
      </c>
      <c r="I9" s="12">
        <f t="shared" si="0"/>
        <v>0.12607995461023269</v>
      </c>
    </row>
    <row r="10" spans="1:9">
      <c r="G10" s="12" t="s">
        <v>540</v>
      </c>
      <c r="H10" s="12">
        <f>SUMIF($E$12:$E$58,"Imposto",$D$12:$D$58)</f>
        <v>3501.63</v>
      </c>
      <c r="I10" s="12">
        <f t="shared" si="0"/>
        <v>6.8887903485364402E-2</v>
      </c>
    </row>
    <row r="11" spans="1:9">
      <c r="A11" s="13" t="s">
        <v>350</v>
      </c>
      <c r="B11" s="13" t="s">
        <v>351</v>
      </c>
      <c r="C11" s="13" t="s">
        <v>352</v>
      </c>
      <c r="D11" s="13" t="s">
        <v>342</v>
      </c>
      <c r="E11" s="13" t="s">
        <v>50</v>
      </c>
      <c r="G11" s="12" t="s">
        <v>63</v>
      </c>
      <c r="H11" s="12">
        <f>SUMIF($E$12:$E$58,"Transferência",$D$12:$D$58)</f>
        <v>3914</v>
      </c>
      <c r="I11" s="12">
        <f t="shared" si="0"/>
        <v>7.7000498122793179E-2</v>
      </c>
    </row>
    <row r="12" spans="1:9">
      <c r="A12" s="12">
        <v>46117</v>
      </c>
      <c r="B12" s="12" t="s">
        <v>411</v>
      </c>
      <c r="D12" s="12">
        <v>6900.3</v>
      </c>
      <c r="E12" s="12" t="s">
        <v>44</v>
      </c>
      <c r="G12" s="12" t="s">
        <v>59</v>
      </c>
      <c r="H12" s="12">
        <f>SUMIF($E$12:$E$58,"Condomínio",$D$12:$D$58)</f>
        <v>2906.84</v>
      </c>
      <c r="I12" s="12">
        <f t="shared" si="0"/>
        <v>5.7186542657961199E-2</v>
      </c>
    </row>
    <row r="13" spans="1:9">
      <c r="A13" s="12">
        <v>46117</v>
      </c>
      <c r="B13" s="12" t="s">
        <v>541</v>
      </c>
      <c r="D13" s="12">
        <v>200</v>
      </c>
      <c r="E13" s="12" t="s">
        <v>65</v>
      </c>
      <c r="G13" s="12" t="s">
        <v>65</v>
      </c>
      <c r="H13" s="12">
        <f>SUMIF($E$12:$E$58,"Compras",$D$12:$D$58)</f>
        <v>1071.9000000000001</v>
      </c>
      <c r="I13" s="12">
        <f t="shared" si="0"/>
        <v>2.1087591706137457E-2</v>
      </c>
    </row>
    <row r="14" spans="1:9">
      <c r="A14" s="12">
        <v>46117</v>
      </c>
      <c r="B14" s="12" t="s">
        <v>479</v>
      </c>
      <c r="D14" s="12">
        <v>230</v>
      </c>
      <c r="E14" s="12" t="s">
        <v>63</v>
      </c>
      <c r="G14" s="12" t="s">
        <v>76</v>
      </c>
      <c r="H14" s="12">
        <f>SUMIF($E$12:$E$58,"Conta Luz",$D$12:$D$58)</f>
        <v>381.57</v>
      </c>
      <c r="I14" s="12">
        <f t="shared" si="0"/>
        <v>7.5066632776479795E-3</v>
      </c>
    </row>
    <row r="15" spans="1:9">
      <c r="A15" s="12">
        <v>46117</v>
      </c>
      <c r="B15" s="12" t="s">
        <v>364</v>
      </c>
      <c r="D15" s="12">
        <v>1980</v>
      </c>
      <c r="E15" s="12" t="s">
        <v>63</v>
      </c>
      <c r="G15" s="12" t="s">
        <v>81</v>
      </c>
      <c r="H15" s="12">
        <f>SUMIF($E$12:$E$58,"Internet/TV",$D$12:$D$58)</f>
        <v>323.87</v>
      </c>
      <c r="I15" s="12">
        <f t="shared" si="0"/>
        <v>6.3715256328638285E-3</v>
      </c>
    </row>
    <row r="16" spans="1:9">
      <c r="A16" s="12">
        <v>46117</v>
      </c>
      <c r="B16" s="12" t="s">
        <v>357</v>
      </c>
      <c r="D16" s="12">
        <v>7540.21</v>
      </c>
      <c r="E16" s="12" t="s">
        <v>38</v>
      </c>
      <c r="G16" s="12" t="s">
        <v>78</v>
      </c>
      <c r="H16" s="12">
        <f>SUMIF($E$12:$E$58,"Farmácia",$D$12:$D$58)</f>
        <v>285.91999999999996</v>
      </c>
      <c r="I16" s="12">
        <f t="shared" si="0"/>
        <v>5.6249316359910633E-3</v>
      </c>
    </row>
    <row r="17" spans="1:9">
      <c r="A17" s="12">
        <v>46117</v>
      </c>
      <c r="B17" s="12" t="s">
        <v>542</v>
      </c>
      <c r="C17" s="12">
        <v>4138.6000000000004</v>
      </c>
      <c r="E17" s="12" t="s">
        <v>368</v>
      </c>
      <c r="G17" s="12" t="s">
        <v>66</v>
      </c>
      <c r="H17" s="12">
        <f>SUMIF($E$12:$E$58,"Terapia",$D$12:$D$58)</f>
        <v>180</v>
      </c>
      <c r="I17" s="12">
        <f t="shared" si="0"/>
        <v>3.5411572974202278E-3</v>
      </c>
    </row>
    <row r="18" spans="1:9">
      <c r="A18" s="12">
        <v>46117</v>
      </c>
      <c r="B18" s="12" t="s">
        <v>509</v>
      </c>
      <c r="C18" s="12">
        <v>61</v>
      </c>
      <c r="E18" s="12" t="s">
        <v>368</v>
      </c>
      <c r="G18" s="12" t="s">
        <v>60</v>
      </c>
      <c r="H18" s="12">
        <f>SUMIF($E$12:$E$58,"Seguro",$D$12:$D$58)</f>
        <v>109.85</v>
      </c>
      <c r="I18" s="12">
        <f t="shared" si="0"/>
        <v>2.1610896062311778E-3</v>
      </c>
    </row>
    <row r="19" spans="1:9">
      <c r="A19" s="12">
        <v>46117</v>
      </c>
      <c r="B19" s="12" t="s">
        <v>367</v>
      </c>
      <c r="C19" s="12">
        <v>3500</v>
      </c>
      <c r="E19" s="12" t="s">
        <v>368</v>
      </c>
      <c r="G19" s="12" t="s">
        <v>72</v>
      </c>
      <c r="H19" s="12">
        <f>SUMIF($E$12:$E$58,"IPTU",$D$12:$D$58)</f>
        <v>0</v>
      </c>
      <c r="I19" s="12">
        <f t="shared" si="0"/>
        <v>0</v>
      </c>
    </row>
    <row r="20" spans="1:9">
      <c r="A20" s="12">
        <v>46117</v>
      </c>
      <c r="B20" s="12" t="s">
        <v>367</v>
      </c>
      <c r="C20" s="12">
        <v>2800</v>
      </c>
      <c r="E20" s="12" t="s">
        <v>368</v>
      </c>
      <c r="G20" s="12" t="s">
        <v>361</v>
      </c>
      <c r="H20" s="12">
        <f>SUMIF($E$12:$E$58,"Pagamento",$D$12:$D$58)</f>
        <v>0</v>
      </c>
      <c r="I20" s="12">
        <f t="shared" si="0"/>
        <v>0</v>
      </c>
    </row>
    <row r="21" spans="1:9">
      <c r="A21" s="12">
        <v>46117</v>
      </c>
      <c r="B21" s="12" t="s">
        <v>359</v>
      </c>
      <c r="D21" s="12">
        <v>381.57</v>
      </c>
      <c r="E21" s="12" t="s">
        <v>76</v>
      </c>
      <c r="G21" s="12" t="s">
        <v>416</v>
      </c>
      <c r="H21" s="12">
        <f>SUMIF($E$12:$E$58,"Transporte",$D$12:$D$58)</f>
        <v>0</v>
      </c>
      <c r="I21" s="12">
        <f t="shared" si="0"/>
        <v>0</v>
      </c>
    </row>
    <row r="22" spans="1:9">
      <c r="A22" s="12">
        <v>46147</v>
      </c>
      <c r="B22" s="12" t="s">
        <v>515</v>
      </c>
      <c r="D22" s="12">
        <v>2906.84</v>
      </c>
      <c r="E22" s="12" t="s">
        <v>59</v>
      </c>
      <c r="G22" s="17" t="s">
        <v>87</v>
      </c>
      <c r="H22" s="17">
        <f>SUM(H6:H21)</f>
        <v>50830.84</v>
      </c>
      <c r="I22" s="17">
        <v>1</v>
      </c>
    </row>
    <row r="23" spans="1:9">
      <c r="A23" s="12">
        <v>46147</v>
      </c>
      <c r="B23" s="12" t="s">
        <v>367</v>
      </c>
      <c r="C23" s="12">
        <v>1400</v>
      </c>
      <c r="E23" s="12" t="s">
        <v>368</v>
      </c>
    </row>
    <row r="24" spans="1:9">
      <c r="A24" s="12">
        <v>46147</v>
      </c>
      <c r="B24" s="12" t="s">
        <v>367</v>
      </c>
      <c r="C24" s="12">
        <v>2500</v>
      </c>
      <c r="E24" s="12" t="s">
        <v>368</v>
      </c>
      <c r="G24" s="13" t="s">
        <v>365</v>
      </c>
    </row>
    <row r="25" spans="1:9">
      <c r="A25" s="12">
        <v>46147</v>
      </c>
      <c r="B25" s="12" t="s">
        <v>370</v>
      </c>
      <c r="D25" s="12">
        <v>323.87</v>
      </c>
      <c r="E25" s="12" t="s">
        <v>81</v>
      </c>
      <c r="G25" s="16" t="s">
        <v>50</v>
      </c>
      <c r="H25" s="16" t="s">
        <v>366</v>
      </c>
    </row>
    <row r="26" spans="1:9">
      <c r="A26" s="12">
        <v>46178</v>
      </c>
      <c r="B26" s="12" t="s">
        <v>383</v>
      </c>
      <c r="D26" s="12">
        <v>50</v>
      </c>
      <c r="E26" s="12" t="s">
        <v>63</v>
      </c>
      <c r="G26" s="12" t="s">
        <v>369</v>
      </c>
      <c r="H26" s="12">
        <f>SUMIF($E$12:$E$58,"Salário",$C$12:$C$58)</f>
        <v>16998.16</v>
      </c>
    </row>
    <row r="27" spans="1:9">
      <c r="A27" s="12">
        <v>46208</v>
      </c>
      <c r="B27" s="12" t="s">
        <v>367</v>
      </c>
      <c r="C27" s="12">
        <v>1200</v>
      </c>
      <c r="E27" s="12" t="s">
        <v>368</v>
      </c>
      <c r="G27" s="12" t="s">
        <v>543</v>
      </c>
      <c r="H27" s="12">
        <f>SUMIF($E$12:$E$58,"Recebimento",$C$12:$C$58)</f>
        <v>28149.599999999999</v>
      </c>
    </row>
    <row r="28" spans="1:9">
      <c r="A28" s="12">
        <v>46239</v>
      </c>
      <c r="B28" s="12" t="s">
        <v>544</v>
      </c>
      <c r="D28" s="12">
        <v>871.9</v>
      </c>
      <c r="E28" s="12" t="s">
        <v>65</v>
      </c>
      <c r="G28" s="12" t="s">
        <v>373</v>
      </c>
      <c r="H28" s="12">
        <f>SUMIF($E$12:$E$58,"Reembolso",$C$12:$C$58)</f>
        <v>1151.83</v>
      </c>
    </row>
    <row r="29" spans="1:9">
      <c r="A29" s="12">
        <v>46239</v>
      </c>
      <c r="B29" s="12" t="s">
        <v>545</v>
      </c>
      <c r="D29" s="12">
        <v>85</v>
      </c>
      <c r="E29" s="12" t="s">
        <v>63</v>
      </c>
      <c r="G29" s="12" t="s">
        <v>377</v>
      </c>
      <c r="H29" s="12">
        <f>SUMIF($E$12:$E$58,"Devolução",$C$12:$C$58)</f>
        <v>0</v>
      </c>
    </row>
    <row r="30" spans="1:9">
      <c r="A30" s="12">
        <v>46239</v>
      </c>
      <c r="B30" s="12" t="s">
        <v>412</v>
      </c>
      <c r="D30" s="12">
        <v>3000</v>
      </c>
      <c r="E30" s="12" t="s">
        <v>56</v>
      </c>
      <c r="G30" s="18" t="s">
        <v>424</v>
      </c>
      <c r="H30" s="18">
        <f>SUM(H26:H29)</f>
        <v>46299.59</v>
      </c>
    </row>
    <row r="31" spans="1:9">
      <c r="A31" s="12">
        <v>46239</v>
      </c>
      <c r="B31" s="12" t="s">
        <v>412</v>
      </c>
      <c r="D31" s="12">
        <v>5000</v>
      </c>
      <c r="E31" s="12" t="s">
        <v>56</v>
      </c>
    </row>
    <row r="32" spans="1:9">
      <c r="A32" s="12">
        <v>46239</v>
      </c>
      <c r="B32" s="12" t="s">
        <v>412</v>
      </c>
      <c r="D32" s="12">
        <v>5000</v>
      </c>
      <c r="E32" s="12" t="s">
        <v>56</v>
      </c>
    </row>
    <row r="33" spans="1:5">
      <c r="A33" s="12">
        <v>46239</v>
      </c>
      <c r="B33" s="12" t="s">
        <v>367</v>
      </c>
      <c r="C33" s="12">
        <v>1400</v>
      </c>
      <c r="E33" s="12" t="s">
        <v>368</v>
      </c>
    </row>
    <row r="34" spans="1:5">
      <c r="A34" s="12">
        <v>46239</v>
      </c>
      <c r="B34" s="12" t="s">
        <v>374</v>
      </c>
      <c r="C34" s="12">
        <v>126</v>
      </c>
      <c r="E34" s="12" t="s">
        <v>5</v>
      </c>
    </row>
    <row r="35" spans="1:5">
      <c r="A35" s="12">
        <v>46331</v>
      </c>
      <c r="B35" s="12" t="s">
        <v>374</v>
      </c>
      <c r="C35" s="12">
        <v>214.85</v>
      </c>
      <c r="E35" s="12" t="s">
        <v>5</v>
      </c>
    </row>
    <row r="36" spans="1:5">
      <c r="A36" s="12">
        <v>46361</v>
      </c>
      <c r="B36" s="12" t="s">
        <v>367</v>
      </c>
      <c r="C36" s="12">
        <v>3000</v>
      </c>
      <c r="E36" s="12" t="s">
        <v>368</v>
      </c>
    </row>
    <row r="37" spans="1:5">
      <c r="A37" s="12" t="s">
        <v>546</v>
      </c>
      <c r="B37" s="12" t="s">
        <v>460</v>
      </c>
      <c r="D37" s="12">
        <v>530</v>
      </c>
      <c r="E37" s="12" t="s">
        <v>63</v>
      </c>
    </row>
    <row r="38" spans="1:5">
      <c r="A38" s="12" t="s">
        <v>547</v>
      </c>
      <c r="B38" s="12" t="s">
        <v>548</v>
      </c>
      <c r="D38" s="12">
        <v>126</v>
      </c>
      <c r="E38" s="12" t="s">
        <v>44</v>
      </c>
    </row>
    <row r="39" spans="1:5">
      <c r="A39" s="12" t="s">
        <v>547</v>
      </c>
      <c r="B39" s="12" t="s">
        <v>519</v>
      </c>
      <c r="D39" s="12">
        <v>199.64</v>
      </c>
      <c r="E39" s="12" t="s">
        <v>78</v>
      </c>
    </row>
    <row r="40" spans="1:5">
      <c r="A40" s="12" t="s">
        <v>547</v>
      </c>
      <c r="B40" s="12" t="s">
        <v>549</v>
      </c>
      <c r="D40" s="12">
        <v>195</v>
      </c>
      <c r="E40" s="12" t="s">
        <v>63</v>
      </c>
    </row>
    <row r="41" spans="1:5">
      <c r="A41" s="12" t="s">
        <v>550</v>
      </c>
      <c r="B41" s="12" t="s">
        <v>521</v>
      </c>
      <c r="D41" s="12">
        <v>6408.75</v>
      </c>
      <c r="E41" s="12" t="s">
        <v>45</v>
      </c>
    </row>
    <row r="42" spans="1:5">
      <c r="A42" s="12" t="s">
        <v>550</v>
      </c>
      <c r="B42" s="12" t="s">
        <v>367</v>
      </c>
      <c r="C42" s="12">
        <v>1000</v>
      </c>
      <c r="E42" s="12" t="s">
        <v>368</v>
      </c>
    </row>
    <row r="43" spans="1:5">
      <c r="A43" s="12" t="s">
        <v>551</v>
      </c>
      <c r="B43" s="12" t="s">
        <v>412</v>
      </c>
      <c r="D43" s="12">
        <v>4000</v>
      </c>
      <c r="E43" s="12" t="s">
        <v>56</v>
      </c>
    </row>
    <row r="44" spans="1:5">
      <c r="A44" s="12" t="s">
        <v>551</v>
      </c>
      <c r="B44" s="12" t="s">
        <v>388</v>
      </c>
      <c r="D44" s="12">
        <v>109.85</v>
      </c>
      <c r="E44" s="12" t="s">
        <v>60</v>
      </c>
    </row>
    <row r="45" spans="1:5">
      <c r="A45" s="12" t="s">
        <v>552</v>
      </c>
      <c r="B45" s="12" t="s">
        <v>354</v>
      </c>
      <c r="D45" s="12">
        <v>180</v>
      </c>
      <c r="E45" s="12" t="s">
        <v>44</v>
      </c>
    </row>
    <row r="46" spans="1:5">
      <c r="A46" s="12" t="s">
        <v>552</v>
      </c>
      <c r="B46" s="12" t="s">
        <v>553</v>
      </c>
      <c r="D46" s="12">
        <v>524</v>
      </c>
      <c r="E46" s="12" t="s">
        <v>63</v>
      </c>
    </row>
    <row r="47" spans="1:5">
      <c r="A47" s="12" t="s">
        <v>552</v>
      </c>
      <c r="B47" s="12" t="s">
        <v>502</v>
      </c>
      <c r="D47" s="12">
        <v>100</v>
      </c>
      <c r="E47" s="12" t="s">
        <v>63</v>
      </c>
    </row>
    <row r="48" spans="1:5">
      <c r="A48" s="12" t="s">
        <v>552</v>
      </c>
      <c r="B48" s="12" t="s">
        <v>367</v>
      </c>
      <c r="C48" s="12">
        <v>1600</v>
      </c>
      <c r="E48" s="12" t="s">
        <v>368</v>
      </c>
    </row>
    <row r="49" spans="1:5">
      <c r="A49" s="12" t="s">
        <v>554</v>
      </c>
      <c r="B49" s="12" t="s">
        <v>367</v>
      </c>
      <c r="C49" s="12">
        <v>2000</v>
      </c>
      <c r="E49" s="12" t="s">
        <v>368</v>
      </c>
    </row>
    <row r="50" spans="1:5">
      <c r="A50" s="12" t="s">
        <v>554</v>
      </c>
      <c r="B50" s="12" t="s">
        <v>555</v>
      </c>
      <c r="C50" s="12">
        <v>3000</v>
      </c>
      <c r="E50" s="12" t="s">
        <v>368</v>
      </c>
    </row>
    <row r="51" spans="1:5">
      <c r="A51" s="12" t="s">
        <v>556</v>
      </c>
      <c r="B51" s="12" t="s">
        <v>383</v>
      </c>
      <c r="C51" s="12">
        <v>50</v>
      </c>
      <c r="E51" s="12" t="s">
        <v>368</v>
      </c>
    </row>
    <row r="52" spans="1:5">
      <c r="A52" s="12" t="s">
        <v>557</v>
      </c>
      <c r="B52" s="12" t="s">
        <v>473</v>
      </c>
      <c r="D52" s="12">
        <v>180</v>
      </c>
      <c r="E52" s="12" t="s">
        <v>66</v>
      </c>
    </row>
    <row r="53" spans="1:5">
      <c r="A53" s="12" t="s">
        <v>557</v>
      </c>
      <c r="B53" s="12" t="s">
        <v>519</v>
      </c>
      <c r="D53" s="12">
        <v>86.28</v>
      </c>
      <c r="E53" s="12" t="s">
        <v>78</v>
      </c>
    </row>
    <row r="54" spans="1:5">
      <c r="A54" s="12" t="s">
        <v>557</v>
      </c>
      <c r="B54" s="12" t="s">
        <v>398</v>
      </c>
      <c r="C54" s="12">
        <v>16998.16</v>
      </c>
      <c r="E54" s="12" t="s">
        <v>369</v>
      </c>
    </row>
    <row r="55" spans="1:5">
      <c r="A55" s="12" t="s">
        <v>557</v>
      </c>
      <c r="B55" s="12" t="s">
        <v>374</v>
      </c>
      <c r="C55" s="12">
        <v>810.98</v>
      </c>
      <c r="E55" s="12" t="s">
        <v>5</v>
      </c>
    </row>
    <row r="56" spans="1:5">
      <c r="A56" s="12" t="s">
        <v>558</v>
      </c>
      <c r="B56" s="12" t="s">
        <v>559</v>
      </c>
      <c r="D56" s="12">
        <v>3501.63</v>
      </c>
      <c r="E56" s="12" t="s">
        <v>540</v>
      </c>
    </row>
    <row r="57" spans="1:5">
      <c r="A57" s="12" t="s">
        <v>558</v>
      </c>
      <c r="B57" s="12" t="s">
        <v>364</v>
      </c>
      <c r="D57" s="12">
        <v>220</v>
      </c>
      <c r="E57" s="12" t="s">
        <v>63</v>
      </c>
    </row>
    <row r="58" spans="1:5">
      <c r="A58" s="12" t="s">
        <v>558</v>
      </c>
      <c r="B58" s="12" t="s">
        <v>367</v>
      </c>
      <c r="C58" s="12">
        <v>500</v>
      </c>
      <c r="E58" s="12" t="s">
        <v>368</v>
      </c>
    </row>
    <row r="60" spans="1:5">
      <c r="A60" s="37" t="s">
        <v>405</v>
      </c>
    </row>
    <row r="61" spans="1:5">
      <c r="B61" s="208" t="s">
        <v>406</v>
      </c>
      <c r="C61" s="12">
        <f>SUM(C12:C58)</f>
        <v>46299.590000000004</v>
      </c>
    </row>
    <row r="62" spans="1:5">
      <c r="B62" s="208" t="s">
        <v>407</v>
      </c>
      <c r="D62" s="12">
        <f>SUM(D12:D58)</f>
        <v>50830.84</v>
      </c>
    </row>
    <row r="63" spans="1:5">
      <c r="B63" s="208" t="s">
        <v>408</v>
      </c>
      <c r="C63" s="12">
        <f>C61-D62</f>
        <v>-4531.2499999999927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FB06-C0F1-4BE9-953E-D12B34FFB158}">
  <dimension ref="A1:V51"/>
  <sheetViews>
    <sheetView workbookViewId="0">
      <selection activeCell="L40" sqref="L40"/>
    </sheetView>
  </sheetViews>
  <sheetFormatPr defaultRowHeight="13.15"/>
  <cols>
    <col min="1" max="1" width="40" style="39" customWidth="1"/>
    <col min="2" max="7" width="24.5" style="39" customWidth="1"/>
    <col min="9" max="9" width="40" style="12" customWidth="1"/>
    <col min="10" max="13" width="26.6640625" style="12" customWidth="1"/>
    <col min="14" max="14" width="26.6640625" customWidth="1"/>
    <col min="17" max="17" width="16.83203125" bestFit="1" customWidth="1"/>
    <col min="19" max="19" width="18" bestFit="1" customWidth="1"/>
    <col min="22" max="22" width="16.83203125" bestFit="1" customWidth="1"/>
  </cols>
  <sheetData>
    <row r="1" spans="1:22" ht="17.45">
      <c r="A1" s="234" t="s">
        <v>560</v>
      </c>
      <c r="B1" s="234"/>
      <c r="C1" s="234"/>
      <c r="D1" s="234"/>
      <c r="E1" s="234"/>
      <c r="F1" s="234"/>
      <c r="G1" s="234"/>
      <c r="H1" s="203"/>
      <c r="I1" s="238" t="s">
        <v>561</v>
      </c>
      <c r="J1" s="238"/>
      <c r="K1" s="238"/>
      <c r="L1" s="238"/>
      <c r="M1" s="238"/>
      <c r="N1" s="238"/>
      <c r="O1" s="203"/>
      <c r="P1" s="203"/>
      <c r="Q1" s="203"/>
      <c r="R1" s="203"/>
      <c r="S1" s="203"/>
      <c r="T1" s="203"/>
      <c r="U1" s="233" t="s">
        <v>562</v>
      </c>
      <c r="V1" s="233"/>
    </row>
    <row r="2" spans="1:22">
      <c r="A2" s="38" t="s">
        <v>338</v>
      </c>
      <c r="H2" s="203"/>
      <c r="N2" s="203"/>
      <c r="O2" s="203"/>
      <c r="P2" s="203"/>
      <c r="Q2" s="203"/>
      <c r="R2" s="203"/>
      <c r="S2" s="203"/>
      <c r="T2" s="203"/>
      <c r="U2" s="6" t="s">
        <v>50</v>
      </c>
      <c r="V2" s="6" t="s">
        <v>563</v>
      </c>
    </row>
    <row r="3" spans="1:22">
      <c r="H3" s="203"/>
      <c r="I3" s="239" t="s">
        <v>564</v>
      </c>
      <c r="J3" s="239"/>
      <c r="K3" s="239"/>
      <c r="L3" s="239"/>
      <c r="M3" s="239"/>
      <c r="N3" s="239"/>
      <c r="O3" s="203"/>
      <c r="P3" s="203"/>
      <c r="Q3" s="203"/>
      <c r="R3" s="203"/>
      <c r="S3" s="203"/>
      <c r="T3" s="203"/>
      <c r="U3" s="203" t="s">
        <v>38</v>
      </c>
      <c r="V3" s="5">
        <f>G6</f>
        <v>42118.14</v>
      </c>
    </row>
    <row r="4" spans="1:22">
      <c r="A4" s="235" t="s">
        <v>565</v>
      </c>
      <c r="B4" s="235"/>
      <c r="C4" s="235"/>
      <c r="D4" s="235"/>
      <c r="E4" s="235"/>
      <c r="F4" s="235"/>
      <c r="G4" s="235"/>
      <c r="H4" s="203"/>
      <c r="I4" s="50" t="s">
        <v>1</v>
      </c>
      <c r="J4" s="50" t="s">
        <v>566</v>
      </c>
      <c r="K4" s="50" t="s">
        <v>567</v>
      </c>
      <c r="L4" s="50" t="s">
        <v>568</v>
      </c>
      <c r="M4" s="50" t="e" cm="1">
        <f t="array" aca="1" ref="M4" ca="1" xml:space="preserve"> GASTO REAL</f>
        <v>#NAME?</v>
      </c>
      <c r="N4" s="9" t="s">
        <v>569</v>
      </c>
      <c r="O4" s="203"/>
      <c r="P4" s="203"/>
      <c r="Q4" s="203"/>
      <c r="R4" s="203"/>
      <c r="S4" s="203"/>
      <c r="T4" s="203"/>
      <c r="U4" s="203" t="s">
        <v>44</v>
      </c>
      <c r="V4" s="5">
        <f>G8</f>
        <v>36066.69</v>
      </c>
    </row>
    <row r="5" spans="1:22">
      <c r="A5" s="40" t="s">
        <v>50</v>
      </c>
      <c r="B5" s="40" t="s">
        <v>570</v>
      </c>
      <c r="C5" s="40" t="s">
        <v>571</v>
      </c>
      <c r="D5" s="40" t="s">
        <v>572</v>
      </c>
      <c r="E5" s="40" t="s">
        <v>573</v>
      </c>
      <c r="F5" s="40" t="s">
        <v>574</v>
      </c>
      <c r="G5" s="40" t="s">
        <v>36</v>
      </c>
      <c r="H5" s="203"/>
      <c r="I5" s="12" t="s">
        <v>570</v>
      </c>
      <c r="J5" s="12">
        <f>B31</f>
        <v>87588.14</v>
      </c>
      <c r="K5" s="12">
        <f>B12</f>
        <v>0</v>
      </c>
      <c r="L5" s="12">
        <f>B10</f>
        <v>45500</v>
      </c>
      <c r="M5" s="12">
        <f>J5-K5-L5</f>
        <v>42088.14</v>
      </c>
      <c r="N5" s="11">
        <f t="shared" ref="N5:N10" si="0">M5/J5</f>
        <v>0.48052327632485403</v>
      </c>
      <c r="O5" s="203"/>
      <c r="P5" s="203"/>
      <c r="Q5" s="203"/>
      <c r="R5" s="203"/>
      <c r="S5" s="203"/>
      <c r="T5" s="203"/>
      <c r="U5" s="203" t="s">
        <v>45</v>
      </c>
      <c r="V5" s="5">
        <f>G7</f>
        <v>32019.47</v>
      </c>
    </row>
    <row r="6" spans="1:22">
      <c r="A6" s="39" t="s">
        <v>38</v>
      </c>
      <c r="B6" s="39">
        <f>SUMIF('janeiro 26'!$E:$E,"Cartão",'janeiro 26'!$D:$D)</f>
        <v>16607.75</v>
      </c>
      <c r="C6" s="39">
        <f>SUMIF('fevereiro 26'!$E:$E,"Cartão",'fevereiro 26'!$D:$D)</f>
        <v>2589.71</v>
      </c>
      <c r="D6" s="39">
        <f>SUMIF('março 26'!$E:$E,"Cartão",'março 26'!$D:$D)</f>
        <v>1660.06</v>
      </c>
      <c r="E6" s="39">
        <f>SUMIF('abril 26'!$E:$E,"Cartão",'abril 26'!$D:$D)</f>
        <v>13720.41</v>
      </c>
      <c r="F6" s="39">
        <f>SUMIF('maio 26'!$E:$E,"Cartão",'maio 26'!$D:$D)</f>
        <v>7540.21</v>
      </c>
      <c r="G6" s="39">
        <f t="shared" ref="G6:G30" si="1">SUM(B6:F6)</f>
        <v>42118.14</v>
      </c>
      <c r="H6" s="203"/>
      <c r="I6" s="12" t="s">
        <v>571</v>
      </c>
      <c r="J6" s="12">
        <f>C31</f>
        <v>32688.760000000002</v>
      </c>
      <c r="K6" s="12">
        <f>C12</f>
        <v>0</v>
      </c>
      <c r="L6" s="12">
        <f>C10</f>
        <v>2964</v>
      </c>
      <c r="M6" s="12">
        <f>J6-K6-L6</f>
        <v>29724.760000000002</v>
      </c>
      <c r="N6" s="11">
        <f t="shared" si="0"/>
        <v>0.90932663092757271</v>
      </c>
      <c r="O6" s="203"/>
      <c r="P6" s="203"/>
      <c r="Q6" s="203"/>
      <c r="R6" s="203"/>
      <c r="S6" s="203"/>
      <c r="T6" s="203"/>
      <c r="U6" s="203" t="s">
        <v>63</v>
      </c>
      <c r="V6" s="5">
        <f>G9</f>
        <v>25840.769999999997</v>
      </c>
    </row>
    <row r="7" spans="1:22">
      <c r="A7" s="39" t="s">
        <v>45</v>
      </c>
      <c r="B7" s="39">
        <f>SUMIF('janeiro 26'!$E:$E,"Financiamento",'janeiro 26'!$D:$D)</f>
        <v>6404.66</v>
      </c>
      <c r="C7" s="39">
        <f>SUMIF('fevereiro 26'!$E:$E,"Financiamento",'fevereiro 26'!$D:$D)</f>
        <v>6403.15</v>
      </c>
      <c r="D7" s="39">
        <f>SUMIF('março 26'!$E:$E,"Financiamento",'março 26'!$D:$D)</f>
        <v>6398.09</v>
      </c>
      <c r="E7" s="39">
        <f>SUMIF('abril 26'!$E:$E,"Financiamento",'abril 26'!$D:$D)</f>
        <v>6404.82</v>
      </c>
      <c r="F7" s="39">
        <f>SUMIF('maio 26'!$E:$E,"Financiamento",'maio 26'!$D:$D)</f>
        <v>6408.75</v>
      </c>
      <c r="G7" s="39">
        <f t="shared" si="1"/>
        <v>32019.47</v>
      </c>
      <c r="H7" s="203"/>
      <c r="I7" s="12" t="s">
        <v>572</v>
      </c>
      <c r="J7" s="12">
        <f>D31</f>
        <v>86875.34</v>
      </c>
      <c r="K7" s="12">
        <f>D12</f>
        <v>42620</v>
      </c>
      <c r="L7" s="12">
        <f>D10</f>
        <v>3000</v>
      </c>
      <c r="M7" s="12">
        <f>J7-K7-L7</f>
        <v>41255.339999999997</v>
      </c>
      <c r="N7" s="11">
        <f t="shared" si="0"/>
        <v>0.47487975298859258</v>
      </c>
      <c r="O7" s="203"/>
      <c r="P7" s="203"/>
      <c r="Q7" s="203"/>
      <c r="R7" s="203"/>
      <c r="S7" s="203"/>
      <c r="T7" s="203"/>
      <c r="U7" s="203" t="s">
        <v>59</v>
      </c>
      <c r="V7" s="5">
        <f>G11</f>
        <v>7538.34</v>
      </c>
    </row>
    <row r="8" spans="1:22">
      <c r="A8" s="39" t="s">
        <v>44</v>
      </c>
      <c r="B8" s="39">
        <f>SUMIF('janeiro 26'!$E:$E,"Escola",'janeiro 26'!$D:$D)</f>
        <v>3788.01</v>
      </c>
      <c r="C8" s="39">
        <f>SUMIF('fevereiro 26'!$E:$E,"Escola",'fevereiro 26'!$D:$D)</f>
        <v>11078.779999999999</v>
      </c>
      <c r="D8" s="39">
        <f>SUMIF('março 26'!$E:$E,"Escola",'março 26'!$D:$D)</f>
        <v>13800.6</v>
      </c>
      <c r="E8" s="39">
        <f>SUMIF('abril 26'!$E:$E,"Escola",'abril 26'!$D:$D)</f>
        <v>193</v>
      </c>
      <c r="F8" s="39">
        <f>SUMIF('maio 26'!$E:$E,"Escola",'maio 26'!$D:$D)</f>
        <v>7206.3</v>
      </c>
      <c r="G8" s="39">
        <f t="shared" si="1"/>
        <v>36066.69</v>
      </c>
      <c r="H8" s="203"/>
      <c r="I8" s="12" t="s">
        <v>573</v>
      </c>
      <c r="J8" s="12">
        <f>E31</f>
        <v>32607.71</v>
      </c>
      <c r="K8" s="12">
        <f>E12</f>
        <v>1000</v>
      </c>
      <c r="L8" s="12">
        <f>E10</f>
        <v>0</v>
      </c>
      <c r="M8" s="12">
        <f>J8-K8-L8</f>
        <v>31607.71</v>
      </c>
      <c r="N8" s="11">
        <f t="shared" si="0"/>
        <v>0.9693324063542027</v>
      </c>
      <c r="O8" s="203"/>
      <c r="P8" s="203"/>
      <c r="Q8" s="203"/>
      <c r="R8" s="203"/>
      <c r="S8" s="203"/>
      <c r="T8" s="203"/>
      <c r="U8" s="203" t="s">
        <v>575</v>
      </c>
      <c r="V8" s="5">
        <f>G13+G14</f>
        <v>8170</v>
      </c>
    </row>
    <row r="9" spans="1:22">
      <c r="A9" s="39" t="s">
        <v>63</v>
      </c>
      <c r="B9" s="39">
        <f>SUMIF('janeiro 26'!$E:$E,"Transferência",'janeiro 26'!$D:$D)</f>
        <v>7521.28</v>
      </c>
      <c r="C9" s="39">
        <f>SUMIF('fevereiro 26'!$E:$E,"Transferência",'fevereiro 26'!$D:$D)</f>
        <v>3587</v>
      </c>
      <c r="D9" s="39">
        <f>SUMIF('março 26'!$E:$E,"Transferência",'março 26'!$D:$D)</f>
        <v>9446.99</v>
      </c>
      <c r="E9" s="39">
        <f>SUMIF('abril 26'!$E:$E,"Transferência",'abril 26'!$D:$D)</f>
        <v>1371.5</v>
      </c>
      <c r="F9" s="39">
        <f>SUMIF('maio 26'!$E:$E,"Transferência",'maio 26'!$D:$D)</f>
        <v>3914</v>
      </c>
      <c r="G9" s="39">
        <f t="shared" si="1"/>
        <v>25840.769999999997</v>
      </c>
      <c r="H9" s="203"/>
      <c r="I9" s="12" t="s">
        <v>574</v>
      </c>
      <c r="J9" s="12">
        <f>F31</f>
        <v>50830.84</v>
      </c>
      <c r="K9" s="12">
        <f>F12</f>
        <v>17000</v>
      </c>
      <c r="L9" s="12">
        <f>F10</f>
        <v>0</v>
      </c>
      <c r="M9" s="12">
        <f>J9-K9-L9</f>
        <v>33830.839999999997</v>
      </c>
      <c r="N9" s="11">
        <f t="shared" si="0"/>
        <v>0.66555736635475626</v>
      </c>
      <c r="O9" s="203"/>
      <c r="P9" s="203"/>
      <c r="Q9" s="203"/>
      <c r="R9" s="203"/>
      <c r="S9" s="203"/>
      <c r="T9" s="203"/>
      <c r="U9" s="203" t="s">
        <v>65</v>
      </c>
      <c r="V9" s="5">
        <f>G15</f>
        <v>6993.3100000000013</v>
      </c>
    </row>
    <row r="10" spans="1:22">
      <c r="A10" s="39" t="s">
        <v>58</v>
      </c>
      <c r="B10" s="39">
        <f>SUMIF('janeiro 26'!$E:$E,"Transferência Interna",'janeiro 26'!$D:$D)</f>
        <v>45500</v>
      </c>
      <c r="C10" s="39">
        <f>SUMIF('fevereiro 26'!$E:$E,"Transferência Interna",'fevereiro 26'!$D:$D)</f>
        <v>2964</v>
      </c>
      <c r="D10" s="39">
        <f>SUMIF('março 26'!$E:$E,"Transferência Interna",'março 26'!$D:$D)</f>
        <v>3000</v>
      </c>
      <c r="E10" s="39">
        <f>SUMIF('abril 26'!$E:$E,"Transferência Interna",'abril 26'!$D:$D)</f>
        <v>0</v>
      </c>
      <c r="F10" s="39">
        <f>SUMIF('maio 26'!$E:$E,"Transferência Interna",'maio 26'!$D:$D)</f>
        <v>0</v>
      </c>
      <c r="G10" s="39">
        <f t="shared" si="1"/>
        <v>51464</v>
      </c>
      <c r="H10" s="203"/>
      <c r="I10" s="51" t="s">
        <v>36</v>
      </c>
      <c r="J10" s="51">
        <f>SUM(J5:J9)</f>
        <v>290590.78999999998</v>
      </c>
      <c r="K10" s="51">
        <f>SUM(K5:K9)</f>
        <v>60620</v>
      </c>
      <c r="L10" s="51">
        <f>SUM(L5:L9)</f>
        <v>51464</v>
      </c>
      <c r="M10" s="51">
        <f>SUM(M5:M9)</f>
        <v>178506.78999999998</v>
      </c>
      <c r="N10" s="49">
        <f t="shared" si="0"/>
        <v>0.61428922093504745</v>
      </c>
      <c r="O10" s="203"/>
      <c r="P10" s="203"/>
      <c r="Q10" s="203"/>
      <c r="R10" s="203"/>
      <c r="S10" s="203"/>
      <c r="T10" s="203"/>
      <c r="U10" s="203" t="s">
        <v>361</v>
      </c>
      <c r="V10" s="5">
        <f>G22</f>
        <v>5231.83</v>
      </c>
    </row>
    <row r="11" spans="1:22">
      <c r="A11" s="39" t="s">
        <v>59</v>
      </c>
      <c r="B11" s="39">
        <f>SUMIF('janeiro 26'!$E:$E,"Condomínio",'janeiro 26'!$D:$D)</f>
        <v>0</v>
      </c>
      <c r="C11" s="39">
        <f>SUMIF('fevereiro 26'!$E:$E,"Condomínio",'fevereiro 26'!$D:$D)</f>
        <v>0</v>
      </c>
      <c r="D11" s="39">
        <f>SUMIF('março 26'!$E:$E,"Condomínio",'março 26'!$D:$D)</f>
        <v>2290.5500000000002</v>
      </c>
      <c r="E11" s="39">
        <f>SUMIF('abril 26'!$E:$E,"Condomínio",'abril 26'!$D:$D)</f>
        <v>2340.9499999999998</v>
      </c>
      <c r="F11" s="39">
        <f>SUMIF('maio 26'!$E:$E,"Condomínio",'maio 26'!$D:$D)</f>
        <v>2906.84</v>
      </c>
      <c r="G11" s="39">
        <f t="shared" si="1"/>
        <v>7538.34</v>
      </c>
      <c r="H11" s="203"/>
      <c r="N11" s="203"/>
      <c r="O11" s="203"/>
      <c r="P11" s="203"/>
      <c r="Q11" s="203"/>
      <c r="R11" s="203"/>
      <c r="S11" s="203"/>
      <c r="T11" s="203"/>
      <c r="U11" s="203" t="s">
        <v>540</v>
      </c>
      <c r="V11" s="5">
        <f>G21</f>
        <v>3501.63</v>
      </c>
    </row>
    <row r="12" spans="1:22">
      <c r="A12" s="39" t="s">
        <v>56</v>
      </c>
      <c r="B12" s="39">
        <f>SUMIF('janeiro 26'!$E:$E,"Investimento",'janeiro 26'!$D:$D)</f>
        <v>0</v>
      </c>
      <c r="C12" s="39">
        <f>SUMIF('fevereiro 26'!$E:$E,"Investimento",'fevereiro 26'!$D:$D)</f>
        <v>0</v>
      </c>
      <c r="D12" s="39">
        <f>SUMIF('março 26'!$E:$E,"Investimento",'março 26'!$D:$D)</f>
        <v>42620</v>
      </c>
      <c r="E12" s="39">
        <f>SUMIF('abril 26'!$E:$E,"Investimento",'abril 26'!$D:$D)</f>
        <v>1000</v>
      </c>
      <c r="F12" s="39">
        <f>SUMIF('maio 26'!$E:$E,"Investimento",'maio 26'!$D:$D)</f>
        <v>17000</v>
      </c>
      <c r="G12" s="39">
        <f t="shared" si="1"/>
        <v>60620</v>
      </c>
      <c r="H12" s="203"/>
      <c r="I12" s="240" t="s">
        <v>576</v>
      </c>
      <c r="J12" s="240"/>
      <c r="K12" s="240"/>
      <c r="N12" s="203"/>
      <c r="O12" s="203"/>
      <c r="P12" s="203"/>
      <c r="Q12" s="203"/>
      <c r="R12" s="203"/>
      <c r="S12" s="203"/>
      <c r="T12" s="203"/>
      <c r="U12" s="203" t="s">
        <v>72</v>
      </c>
      <c r="V12" s="5">
        <f>G20</f>
        <v>2298.1799999999998</v>
      </c>
    </row>
    <row r="13" spans="1:22">
      <c r="A13" s="39" t="s">
        <v>66</v>
      </c>
      <c r="B13" s="39">
        <f>SUMIF('janeiro 26'!$E:$E,"Terapia",'janeiro 26'!$D:$D)</f>
        <v>0</v>
      </c>
      <c r="C13" s="39">
        <f>SUMIF('fevereiro 26'!$E:$E,"Terapia",'fevereiro 26'!$D:$D)</f>
        <v>610</v>
      </c>
      <c r="D13" s="39">
        <f>SUMIF('março 26'!$E:$E,"Terapia",'março 26'!$D:$D)</f>
        <v>0</v>
      </c>
      <c r="E13" s="39">
        <f>SUMIF('abril 26'!$E:$E,"Terapia",'abril 26'!$D:$D)</f>
        <v>3380</v>
      </c>
      <c r="F13" s="39">
        <f>SUMIF('maio 26'!$E:$E,"Terapia",'maio 26'!$D:$D)</f>
        <v>180</v>
      </c>
      <c r="G13" s="39">
        <f t="shared" si="1"/>
        <v>4170</v>
      </c>
      <c r="H13" s="203"/>
      <c r="I13" s="52" t="s">
        <v>49</v>
      </c>
      <c r="J13" s="52" t="s">
        <v>50</v>
      </c>
      <c r="K13" s="52" t="s">
        <v>563</v>
      </c>
      <c r="N13" s="203"/>
      <c r="O13" s="203"/>
      <c r="P13" s="203"/>
      <c r="Q13" s="203"/>
      <c r="R13" s="203"/>
      <c r="S13" s="203"/>
      <c r="T13" s="203"/>
      <c r="U13" s="203" t="s">
        <v>76</v>
      </c>
      <c r="V13" s="5">
        <f>G19</f>
        <v>1855.95</v>
      </c>
    </row>
    <row r="14" spans="1:22">
      <c r="A14" s="39" t="s">
        <v>67</v>
      </c>
      <c r="B14" s="39">
        <f>SUMIF('janeiro 26'!$E:$E,"Terapia/Psicologia",'janeiro 26'!$D:$D)</f>
        <v>4000</v>
      </c>
      <c r="C14" s="39">
        <f>SUMIF('fevereiro 26'!$E:$E,"Terapia/Psicologia",'fevereiro 26'!$D:$D)</f>
        <v>0</v>
      </c>
      <c r="D14" s="39">
        <f>SUMIF('março 26'!$E:$E,"Terapia/Psicologia",'março 26'!$D:$D)</f>
        <v>0</v>
      </c>
      <c r="E14" s="39">
        <f>SUMIF('abril 26'!$E:$E,"Terapia/Psicologia",'abril 26'!$D:$D)</f>
        <v>0</v>
      </c>
      <c r="F14" s="39">
        <f>SUMIF('maio 26'!$E:$E,"Terapia/Psicologia",'maio 26'!$D:$D)</f>
        <v>0</v>
      </c>
      <c r="G14" s="39">
        <f t="shared" si="1"/>
        <v>4000</v>
      </c>
      <c r="H14" s="203"/>
      <c r="I14" s="12" t="s">
        <v>577</v>
      </c>
      <c r="J14" s="12" t="s">
        <v>56</v>
      </c>
      <c r="K14" s="12">
        <f>G12</f>
        <v>60620</v>
      </c>
      <c r="N14" s="203"/>
      <c r="O14" s="203"/>
      <c r="P14" s="203"/>
      <c r="Q14" s="203"/>
      <c r="R14" s="203"/>
      <c r="S14" s="203"/>
      <c r="T14" s="203"/>
      <c r="U14" s="203" t="s">
        <v>78</v>
      </c>
      <c r="V14" s="5">
        <f>G16</f>
        <v>1717.87</v>
      </c>
    </row>
    <row r="15" spans="1:22">
      <c r="A15" s="39" t="s">
        <v>65</v>
      </c>
      <c r="B15" s="39">
        <f>SUMIF('janeiro 26'!$E:$E,"Compras",'janeiro 26'!$D:$D)</f>
        <v>979.85</v>
      </c>
      <c r="C15" s="39">
        <f>SUMIF('fevereiro 26'!$E:$E,"Compras",'fevereiro 26'!$D:$D)</f>
        <v>1757.1000000000001</v>
      </c>
      <c r="D15" s="39">
        <f>SUMIF('março 26'!$E:$E,"Compras",'março 26'!$D:$D)</f>
        <v>2764.33</v>
      </c>
      <c r="E15" s="39">
        <f>SUMIF('abril 26'!$E:$E,"Compras",'abril 26'!$D:$D)</f>
        <v>420.13</v>
      </c>
      <c r="F15" s="39">
        <f>SUMIF('maio 26'!$E:$E,"Compras",'maio 26'!$D:$D)</f>
        <v>1071.9000000000001</v>
      </c>
      <c r="G15" s="39">
        <f t="shared" si="1"/>
        <v>6993.3100000000013</v>
      </c>
      <c r="H15" s="203"/>
      <c r="I15" s="12" t="s">
        <v>578</v>
      </c>
      <c r="J15" s="12" t="s">
        <v>58</v>
      </c>
      <c r="K15" s="12">
        <f>G10</f>
        <v>51464</v>
      </c>
      <c r="N15" s="203"/>
      <c r="O15" s="203"/>
      <c r="P15" s="203"/>
      <c r="Q15" s="203"/>
      <c r="R15" s="203"/>
      <c r="S15" s="203"/>
      <c r="T15" s="203"/>
      <c r="U15" s="203"/>
      <c r="V15" s="203"/>
    </row>
    <row r="16" spans="1:22">
      <c r="A16" s="39" t="s">
        <v>78</v>
      </c>
      <c r="B16" s="39">
        <f>SUMIF('janeiro 26'!$E:$E,"Farmácia",'janeiro 26'!$D:$D)</f>
        <v>303.83999999999997</v>
      </c>
      <c r="C16" s="39">
        <f>SUMIF('fevereiro 26'!$E:$E,"Farmácia",'fevereiro 26'!$D:$D)</f>
        <v>143.91</v>
      </c>
      <c r="D16" s="39">
        <f>SUMIF('março 26'!$E:$E,"Farmácia",'março 26'!$D:$D)</f>
        <v>0</v>
      </c>
      <c r="E16" s="39">
        <f>SUMIF('abril 26'!$E:$E,"Farmácia",'abril 26'!$D:$D)</f>
        <v>984.2</v>
      </c>
      <c r="F16" s="39">
        <f>SUMIF('maio 26'!$E:$E,"Farmácia",'maio 26'!$D:$D)</f>
        <v>285.91999999999996</v>
      </c>
      <c r="G16" s="39">
        <f t="shared" si="1"/>
        <v>1717.87</v>
      </c>
      <c r="H16" s="203"/>
      <c r="I16" s="12" t="s">
        <v>579</v>
      </c>
      <c r="J16" s="12" t="s">
        <v>38</v>
      </c>
      <c r="K16" s="12">
        <f>G6</f>
        <v>42118.14</v>
      </c>
      <c r="N16" s="203"/>
      <c r="O16" s="203"/>
      <c r="P16" s="203"/>
      <c r="Q16" s="203"/>
      <c r="R16" s="203"/>
      <c r="S16" s="203"/>
      <c r="T16" s="203"/>
      <c r="U16" s="203"/>
      <c r="V16" s="203"/>
    </row>
    <row r="17" spans="1:12">
      <c r="A17" s="39" t="s">
        <v>68</v>
      </c>
      <c r="B17" s="39">
        <f>SUMIF('janeiro 26'!$E:$E,"Alimentação",'janeiro 26'!$D:$D)</f>
        <v>232.84</v>
      </c>
      <c r="C17" s="39">
        <f>SUMIF('fevereiro 26'!$E:$E,"Alimentação",'fevereiro 26'!$D:$D)</f>
        <v>786.29</v>
      </c>
      <c r="D17" s="39">
        <f>SUMIF('março 26'!$E:$E,"Alimentação",'março 26'!$D:$D)</f>
        <v>0</v>
      </c>
      <c r="E17" s="39">
        <f>SUMIF('abril 26'!$E:$E,"Alimentação",'abril 26'!$D:$D)</f>
        <v>0</v>
      </c>
      <c r="F17" s="39">
        <f>SUMIF('maio 26'!$E:$E,"Alimentação",'maio 26'!$D:$D)</f>
        <v>0</v>
      </c>
      <c r="G17" s="39">
        <f t="shared" si="1"/>
        <v>1019.13</v>
      </c>
      <c r="H17" s="203"/>
      <c r="I17" s="12" t="s">
        <v>580</v>
      </c>
      <c r="J17" s="12" t="s">
        <v>44</v>
      </c>
      <c r="K17" s="12">
        <f>G8</f>
        <v>36066.69</v>
      </c>
    </row>
    <row r="18" spans="1:12">
      <c r="A18" s="39" t="s">
        <v>81</v>
      </c>
      <c r="B18" s="39">
        <f>SUMIF('janeiro 26'!$E:$E,"Internet/TV",'janeiro 26'!$D:$D)</f>
        <v>323.87</v>
      </c>
      <c r="C18" s="39">
        <f>SUMIF('fevereiro 26'!$E:$E,"Internet/TV",'fevereiro 26'!$D:$D)</f>
        <v>323.87</v>
      </c>
      <c r="D18" s="39">
        <f>SUMIF('março 26'!$E:$E,"Internet/TV",'março 26'!$D:$D)</f>
        <v>321.01</v>
      </c>
      <c r="E18" s="39">
        <f>SUMIF('abril 26'!$E:$E,"Internet/TV",'abril 26'!$D:$D)</f>
        <v>323.87</v>
      </c>
      <c r="F18" s="39">
        <f>SUMIF('maio 26'!$E:$E,"Internet/TV",'maio 26'!$D:$D)</f>
        <v>323.87</v>
      </c>
      <c r="G18" s="39">
        <f t="shared" si="1"/>
        <v>1616.4899999999998</v>
      </c>
      <c r="H18" s="203"/>
      <c r="I18" s="12" t="s">
        <v>581</v>
      </c>
      <c r="J18" s="12" t="s">
        <v>45</v>
      </c>
      <c r="K18" s="12">
        <f>G7</f>
        <v>32019.47</v>
      </c>
    </row>
    <row r="19" spans="1:12">
      <c r="A19" s="39" t="s">
        <v>76</v>
      </c>
      <c r="B19" s="39">
        <f>SUMIF('janeiro 26'!$E:$E,"Conta Luz",'janeiro 26'!$D:$D)</f>
        <v>327.82</v>
      </c>
      <c r="C19" s="39">
        <f>SUMIF('fevereiro 26'!$E:$E,"Conta Luz",'fevereiro 26'!$D:$D)</f>
        <v>451.49</v>
      </c>
      <c r="D19" s="39">
        <f>SUMIF('março 26'!$E:$E,"Conta Luz",'março 26'!$D:$D)</f>
        <v>360.61</v>
      </c>
      <c r="E19" s="39">
        <f>SUMIF('abril 26'!$E:$E,"Conta Luz",'abril 26'!$D:$D)</f>
        <v>334.46</v>
      </c>
      <c r="F19" s="39">
        <f>SUMIF('maio 26'!$E:$E,"Conta Luz",'maio 26'!$D:$D)</f>
        <v>381.57</v>
      </c>
      <c r="G19" s="39">
        <f t="shared" si="1"/>
        <v>1855.95</v>
      </c>
      <c r="H19" s="203"/>
    </row>
    <row r="20" spans="1:12">
      <c r="A20" s="39" t="s">
        <v>72</v>
      </c>
      <c r="B20" s="39">
        <f>SUMIF('janeiro 26'!$E:$E,"IPTU",'janeiro 26'!$D:$D)</f>
        <v>0</v>
      </c>
      <c r="C20" s="39">
        <f>SUMIF('fevereiro 26'!$E:$E,"IPTU",'fevereiro 26'!$D:$D)</f>
        <v>766.06</v>
      </c>
      <c r="D20" s="39">
        <f>SUMIF('março 26'!$E:$E,"IPTU",'março 26'!$D:$D)</f>
        <v>766.06</v>
      </c>
      <c r="E20" s="39">
        <f>SUMIF('abril 26'!$E:$E,"IPTU",'abril 26'!$D:$D)</f>
        <v>766.06</v>
      </c>
      <c r="F20" s="39">
        <f>SUMIF('maio 26'!$E:$E,"IPTU",'maio 26'!$D:$D)</f>
        <v>0</v>
      </c>
      <c r="G20" s="39">
        <f t="shared" si="1"/>
        <v>2298.1799999999998</v>
      </c>
      <c r="H20" s="203"/>
      <c r="I20" s="241" t="s">
        <v>582</v>
      </c>
      <c r="J20" s="241"/>
      <c r="K20" s="241"/>
    </row>
    <row r="21" spans="1:12">
      <c r="A21" s="39" t="s">
        <v>540</v>
      </c>
      <c r="B21" s="39">
        <f>SUMIF('janeiro 26'!$E:$E,"Imposto",'janeiro 26'!$D:$D)</f>
        <v>0</v>
      </c>
      <c r="C21" s="39">
        <f>SUMIF('fevereiro 26'!$E:$E,"Imposto",'fevereiro 26'!$D:$D)</f>
        <v>0</v>
      </c>
      <c r="D21" s="39">
        <f>SUMIF('março 26'!$E:$E,"Imposto",'março 26'!$D:$D)</f>
        <v>0</v>
      </c>
      <c r="E21" s="39">
        <f>SUMIF('abril 26'!$E:$E,"Imposto",'abril 26'!$D:$D)</f>
        <v>0</v>
      </c>
      <c r="F21" s="39">
        <f>SUMIF('maio 26'!$E:$E,"Imposto",'maio 26'!$D:$D)</f>
        <v>3501.63</v>
      </c>
      <c r="G21" s="39">
        <f t="shared" si="1"/>
        <v>3501.63</v>
      </c>
      <c r="H21" s="203"/>
      <c r="I21" s="53" t="s">
        <v>50</v>
      </c>
      <c r="J21" s="53" t="s">
        <v>583</v>
      </c>
      <c r="K21" s="53" t="s">
        <v>343</v>
      </c>
    </row>
    <row r="22" spans="1:12">
      <c r="A22" s="39" t="s">
        <v>361</v>
      </c>
      <c r="B22" s="39">
        <f>SUMIF('janeiro 26'!$E:$E,"Pagamento",'janeiro 26'!$D:$D)</f>
        <v>490.61</v>
      </c>
      <c r="C22" s="39">
        <f>SUMIF('fevereiro 26'!$E:$E,"Pagamento",'fevereiro 26'!$D:$D)</f>
        <v>233.59</v>
      </c>
      <c r="D22" s="39">
        <f>SUMIF('março 26'!$E:$E,"Pagamento",'março 26'!$D:$D)</f>
        <v>3270.58</v>
      </c>
      <c r="E22" s="39">
        <f>SUMIF('abril 26'!$E:$E,"Pagamento",'abril 26'!$D:$D)</f>
        <v>1237.05</v>
      </c>
      <c r="F22" s="39">
        <f>SUMIF('maio 26'!$E:$E,"Pagamento",'maio 26'!$D:$D)</f>
        <v>0</v>
      </c>
      <c r="G22" s="39">
        <f t="shared" si="1"/>
        <v>5231.83</v>
      </c>
      <c r="H22" s="203"/>
      <c r="I22" s="12" t="s">
        <v>584</v>
      </c>
      <c r="J22" s="12">
        <f>G7/5</f>
        <v>6403.8940000000002</v>
      </c>
      <c r="K22" s="12">
        <f>G7/G31</f>
        <v>0.11018749080106768</v>
      </c>
    </row>
    <row r="23" spans="1:12">
      <c r="A23" s="39" t="s">
        <v>60</v>
      </c>
      <c r="B23" s="39">
        <f>SUMIF('janeiro 26'!$E:$E,"Seguro",'janeiro 26'!$D:$D)</f>
        <v>105.48</v>
      </c>
      <c r="C23" s="39">
        <f>SUMIF('fevereiro 26'!$E:$E,"Seguro",'fevereiro 26'!$D:$D)</f>
        <v>105.48</v>
      </c>
      <c r="D23" s="39">
        <f>SUMIF('março 26'!$E:$E,"Seguro",'março 26'!$D:$D)</f>
        <v>105.48</v>
      </c>
      <c r="E23" s="39">
        <f>SUMIF('abril 26'!$E:$E,"Seguro",'abril 26'!$D:$D)</f>
        <v>105.48</v>
      </c>
      <c r="F23" s="39">
        <f>SUMIF('maio 26'!$E:$E,"Seguro",'maio 26'!$D:$D)</f>
        <v>109.85</v>
      </c>
      <c r="G23" s="39">
        <f t="shared" si="1"/>
        <v>531.77</v>
      </c>
      <c r="H23" s="203"/>
      <c r="I23" s="12" t="s">
        <v>81</v>
      </c>
      <c r="J23" s="12">
        <f>G18/5</f>
        <v>323.29799999999994</v>
      </c>
      <c r="K23" s="12">
        <f>G18/G31</f>
        <v>5.5627709329672814E-3</v>
      </c>
    </row>
    <row r="24" spans="1:12">
      <c r="A24" s="39" t="s">
        <v>353</v>
      </c>
      <c r="B24" s="39">
        <f>SUMIF('janeiro 26'!$E:$E,"Telefone",'janeiro 26'!$D:$D)</f>
        <v>82.13</v>
      </c>
      <c r="C24" s="39">
        <f>SUMIF('fevereiro 26'!$E:$E,"Telefone",'fevereiro 26'!$D:$D)</f>
        <v>85.2</v>
      </c>
      <c r="D24" s="39">
        <f>SUMIF('março 26'!$E:$E,"Telefone",'março 26'!$D:$D)</f>
        <v>0</v>
      </c>
      <c r="E24" s="39">
        <f>SUMIF('abril 26'!$E:$E,"Telefone",'abril 26'!$D:$D)</f>
        <v>0</v>
      </c>
      <c r="F24" s="39">
        <f>SUMIF('maio 26'!$E:$E,"Telefone",'maio 26'!$D:$D)</f>
        <v>0</v>
      </c>
      <c r="G24" s="39">
        <f t="shared" si="1"/>
        <v>167.32999999999998</v>
      </c>
      <c r="H24" s="203"/>
      <c r="I24" s="12" t="s">
        <v>585</v>
      </c>
      <c r="J24" s="12">
        <f>G19/5</f>
        <v>371.19</v>
      </c>
      <c r="K24" s="12">
        <f>G19/G31</f>
        <v>6.3868163199528776E-3</v>
      </c>
    </row>
    <row r="25" spans="1:12">
      <c r="A25" s="39" t="s">
        <v>416</v>
      </c>
      <c r="B25" s="39">
        <f>SUMIF('janeiro 26'!$E:$E,"Transporte",'janeiro 26'!$D:$D)</f>
        <v>0</v>
      </c>
      <c r="C25" s="39">
        <f>SUMIF('fevereiro 26'!$E:$E,"Transporte",'fevereiro 26'!$D:$D)</f>
        <v>27</v>
      </c>
      <c r="D25" s="39">
        <f>SUMIF('março 26'!$E:$E,"Transporte",'março 26'!$D:$D)</f>
        <v>27.98</v>
      </c>
      <c r="E25" s="39">
        <f>SUMIF('abril 26'!$E:$E,"Transporte",'abril 26'!$D:$D)</f>
        <v>25.78</v>
      </c>
      <c r="F25" s="39">
        <f>SUMIF('maio 26'!$E:$E,"Transporte",'maio 26'!$D:$D)</f>
        <v>0</v>
      </c>
      <c r="G25" s="39">
        <f t="shared" si="1"/>
        <v>80.760000000000005</v>
      </c>
      <c r="H25" s="203"/>
      <c r="I25" s="12" t="s">
        <v>60</v>
      </c>
      <c r="J25" s="12">
        <f>G23/5</f>
        <v>106.354</v>
      </c>
      <c r="K25" s="12">
        <f>G23/G31</f>
        <v>1.8299616446894268E-3</v>
      </c>
    </row>
    <row r="26" spans="1:12">
      <c r="A26" s="39" t="s">
        <v>469</v>
      </c>
      <c r="B26" s="39">
        <f>SUMIF('janeiro 26'!$E:$E,"Lazer",'janeiro 26'!$D:$D)</f>
        <v>0</v>
      </c>
      <c r="C26" s="39">
        <f>SUMIF('fevereiro 26'!$E:$E,"Lazer",'fevereiro 26'!$D:$D)</f>
        <v>578.13</v>
      </c>
      <c r="D26" s="39">
        <f>SUMIF('março 26'!$E:$E,"Lazer",'março 26'!$D:$D)</f>
        <v>0</v>
      </c>
      <c r="E26" s="39">
        <f>SUMIF('abril 26'!$E:$E,"Lazer",'abril 26'!$D:$D)</f>
        <v>0</v>
      </c>
      <c r="F26" s="39">
        <f>SUMIF('maio 26'!$E:$E,"Lazer",'maio 26'!$D:$D)</f>
        <v>0</v>
      </c>
      <c r="G26" s="39">
        <f t="shared" si="1"/>
        <v>578.13</v>
      </c>
      <c r="H26" s="203"/>
      <c r="I26" s="54" t="s">
        <v>586</v>
      </c>
      <c r="J26" s="54">
        <f>SUM(J22:J25)</f>
        <v>7204.7359999999999</v>
      </c>
      <c r="K26" s="54">
        <f>SUM(K22:K25)</f>
        <v>0.12396703969867727</v>
      </c>
    </row>
    <row r="27" spans="1:12">
      <c r="A27" s="39" t="s">
        <v>349</v>
      </c>
      <c r="B27" s="39">
        <f>SUMIF('janeiro 26'!$E:$E,"Serviços",'janeiro 26'!$D:$D)</f>
        <v>920</v>
      </c>
      <c r="C27" s="39">
        <f>SUMIF('fevereiro 26'!$E:$E,"Serviços",'fevereiro 26'!$D:$D)</f>
        <v>0</v>
      </c>
      <c r="D27" s="39">
        <f>SUMIF('março 26'!$E:$E,"Serviços",'março 26'!$D:$D)</f>
        <v>0</v>
      </c>
      <c r="E27" s="39">
        <f>SUMIF('abril 26'!$E:$E,"Serviços",'abril 26'!$D:$D)</f>
        <v>0</v>
      </c>
      <c r="F27" s="39">
        <f>SUMIF('maio 26'!$E:$E,"Serviços",'maio 26'!$D:$D)</f>
        <v>0</v>
      </c>
      <c r="G27" s="39">
        <f t="shared" si="1"/>
        <v>920</v>
      </c>
      <c r="H27" s="203"/>
    </row>
    <row r="28" spans="1:12">
      <c r="A28" s="39" t="s">
        <v>471</v>
      </c>
      <c r="B28" s="39">
        <f>SUMIF('janeiro 26'!$E:$E,"Assinatura",'janeiro 26'!$D:$D)</f>
        <v>0</v>
      </c>
      <c r="C28" s="39">
        <f>SUMIF('fevereiro 26'!$E:$E,"Assinatura",'fevereiro 26'!$D:$D)</f>
        <v>150</v>
      </c>
      <c r="D28" s="39">
        <f>SUMIF('março 26'!$E:$E,"Assinatura",'março 26'!$D:$D)</f>
        <v>0</v>
      </c>
      <c r="E28" s="39">
        <f>SUMIF('abril 26'!$E:$E,"Assinatura",'abril 26'!$D:$D)</f>
        <v>0</v>
      </c>
      <c r="F28" s="39">
        <f>SUMIF('maio 26'!$E:$E,"Assinatura",'maio 26'!$D:$D)</f>
        <v>0</v>
      </c>
      <c r="G28" s="39">
        <f t="shared" si="1"/>
        <v>150</v>
      </c>
      <c r="H28" s="203"/>
      <c r="I28" s="242" t="s">
        <v>587</v>
      </c>
      <c r="J28" s="242"/>
      <c r="K28" s="242"/>
      <c r="L28" s="242"/>
    </row>
    <row r="29" spans="1:12">
      <c r="A29" s="39" t="s">
        <v>472</v>
      </c>
      <c r="B29" s="39">
        <f>SUMIF('janeiro 26'!$E:$E,"Saúde",'janeiro 26'!$D:$D)</f>
        <v>0</v>
      </c>
      <c r="C29" s="39">
        <f>SUMIF('fevereiro 26'!$E:$E,"Saúde",'fevereiro 26'!$D:$D)</f>
        <v>48</v>
      </c>
      <c r="D29" s="39">
        <f>SUMIF('março 26'!$E:$E,"Saúde",'março 26'!$D:$D)</f>
        <v>0</v>
      </c>
      <c r="E29" s="39">
        <f>SUMIF('abril 26'!$E:$E,"Saúde",'abril 26'!$D:$D)</f>
        <v>0</v>
      </c>
      <c r="F29" s="39">
        <f>SUMIF('maio 26'!$E:$E,"Saúde",'maio 26'!$D:$D)</f>
        <v>0</v>
      </c>
      <c r="G29" s="39">
        <f t="shared" si="1"/>
        <v>48</v>
      </c>
      <c r="H29" s="203"/>
      <c r="I29" s="55" t="s">
        <v>95</v>
      </c>
      <c r="J29" s="55" t="s">
        <v>96</v>
      </c>
      <c r="K29" s="55" t="s">
        <v>588</v>
      </c>
      <c r="L29" s="55" t="s">
        <v>98</v>
      </c>
    </row>
    <row r="30" spans="1:12">
      <c r="A30" s="39" t="s">
        <v>415</v>
      </c>
      <c r="B30" s="39">
        <f>SUMIF('janeiro 26'!$E:$E,"Estacionamento",'janeiro 26'!$D:$D)</f>
        <v>0</v>
      </c>
      <c r="C30" s="39">
        <f>SUMIF('fevereiro 26'!$E:$E,"Estacionamento",'fevereiro 26'!$D:$D)</f>
        <v>0</v>
      </c>
      <c r="D30" s="39">
        <f>SUMIF('março 26'!$E:$E,"Estacionamento",'março 26'!$D:$D)</f>
        <v>43</v>
      </c>
      <c r="E30" s="39">
        <f>SUMIF('abril 26'!$E:$E,"Estacionamento",'abril 26'!$D:$D)</f>
        <v>0</v>
      </c>
      <c r="F30" s="39">
        <f>SUMIF('maio 26'!$E:$E,"Estacionamento",'maio 26'!$D:$D)</f>
        <v>0</v>
      </c>
      <c r="G30" s="39">
        <f t="shared" si="1"/>
        <v>43</v>
      </c>
      <c r="H30" s="203"/>
      <c r="I30" s="12" t="s">
        <v>104</v>
      </c>
      <c r="J30" s="12">
        <f>G12/G42</f>
        <v>0.19788665410228956</v>
      </c>
      <c r="K30" s="12">
        <v>0.2</v>
      </c>
      <c r="L30" s="12" t="str">
        <f>IF(J30&gt;=0.2,"✅ Ótimo",IF(J30&gt;=0.1,"⚠️ Regular","❌ Baixo"))</f>
        <v>⚠️ Regular</v>
      </c>
    </row>
    <row r="31" spans="1:12">
      <c r="A31" s="41" t="s">
        <v>87</v>
      </c>
      <c r="B31" s="41">
        <f t="shared" ref="B31:G31" si="2">SUM(B6:B30)</f>
        <v>87588.14</v>
      </c>
      <c r="C31" s="41">
        <f t="shared" si="2"/>
        <v>32688.760000000002</v>
      </c>
      <c r="D31" s="41">
        <f t="shared" si="2"/>
        <v>86875.34</v>
      </c>
      <c r="E31" s="41">
        <f t="shared" si="2"/>
        <v>32607.71</v>
      </c>
      <c r="F31" s="41">
        <f t="shared" si="2"/>
        <v>50830.84</v>
      </c>
      <c r="G31" s="41">
        <f t="shared" si="2"/>
        <v>290590.7900000001</v>
      </c>
      <c r="H31" s="203"/>
      <c r="I31" s="12" t="s">
        <v>589</v>
      </c>
      <c r="J31" s="12">
        <f>G49</f>
        <v>15746.189999999944</v>
      </c>
      <c r="K31" s="12" t="s">
        <v>590</v>
      </c>
      <c r="L31" s="12" t="str">
        <f>IF(J31&gt;0,"✅ Positivo","❌ Negativo")</f>
        <v>✅ Positivo</v>
      </c>
    </row>
    <row r="32" spans="1:12">
      <c r="H32" s="203"/>
      <c r="I32" s="12" t="s">
        <v>591</v>
      </c>
      <c r="J32" s="12">
        <f>COUNTIF(B49:F49,"&lt;0")</f>
        <v>2</v>
      </c>
      <c r="K32" s="12">
        <v>0</v>
      </c>
      <c r="L32" s="12" t="str">
        <f>IF(J32=0,"✅ Nenhum",IF(J32&lt;=2,"⚠️ "&amp;J32&amp;" meses","❌ "&amp;J32&amp;" meses"))</f>
        <v>⚠️ 2 meses</v>
      </c>
    </row>
    <row r="33" spans="1:19">
      <c r="H33" s="203"/>
      <c r="I33" s="12" t="s">
        <v>592</v>
      </c>
      <c r="J33" s="12">
        <f>(G7+G18+G19+G23)/(G42/5)</f>
        <v>0.58797471986568495</v>
      </c>
      <c r="K33" s="12" t="s">
        <v>593</v>
      </c>
      <c r="L33" s="12" t="str">
        <f>IF(J33&lt;0.3,"✅ Saudável",IF(J33&lt;0.5,"⚠️ Atenção","❌ Alto"))</f>
        <v>❌ Alto</v>
      </c>
      <c r="M33" s="56" t="s">
        <v>594</v>
      </c>
      <c r="N33" s="203"/>
      <c r="O33" s="203"/>
      <c r="P33" s="203"/>
      <c r="Q33" s="203"/>
      <c r="R33" s="203"/>
      <c r="S33" s="203"/>
    </row>
    <row r="34" spans="1:19">
      <c r="A34" s="236" t="s">
        <v>595</v>
      </c>
      <c r="B34" s="236"/>
      <c r="C34" s="236"/>
      <c r="D34" s="236"/>
      <c r="E34" s="236"/>
      <c r="F34" s="236"/>
      <c r="G34" s="236"/>
      <c r="H34" s="203"/>
      <c r="I34" s="12" t="s">
        <v>596</v>
      </c>
      <c r="J34" s="12">
        <f>G12/G31</f>
        <v>0.20860950204237369</v>
      </c>
      <c r="K34" s="12" t="s">
        <v>597</v>
      </c>
      <c r="L34" s="12" t="str">
        <f>IF(J34&gt;=0.15,"✅ Excelente",IF(J34&gt;=0.1,"⚠️ Bom","❌ Baixo"))</f>
        <v>✅ Excelente</v>
      </c>
      <c r="N34" s="203"/>
      <c r="O34" s="203"/>
      <c r="P34" s="203"/>
      <c r="Q34" s="203"/>
      <c r="R34" s="203"/>
      <c r="S34" s="203"/>
    </row>
    <row r="35" spans="1:19">
      <c r="A35" s="42" t="s">
        <v>50</v>
      </c>
      <c r="B35" s="42" t="s">
        <v>570</v>
      </c>
      <c r="C35" s="42" t="s">
        <v>571</v>
      </c>
      <c r="D35" s="42" t="s">
        <v>572</v>
      </c>
      <c r="E35" s="42" t="s">
        <v>573</v>
      </c>
      <c r="F35" s="42" t="s">
        <v>574</v>
      </c>
      <c r="G35" s="42" t="s">
        <v>36</v>
      </c>
      <c r="H35" s="203"/>
      <c r="I35" s="243" t="s">
        <v>598</v>
      </c>
      <c r="J35" s="243"/>
      <c r="K35" s="243"/>
      <c r="L35" s="243"/>
      <c r="M35" s="243"/>
      <c r="N35" s="243"/>
      <c r="O35" s="203"/>
      <c r="P35" s="203"/>
      <c r="Q35" s="203"/>
      <c r="R35" s="203"/>
      <c r="S35" s="203"/>
    </row>
    <row r="36" spans="1:19">
      <c r="A36" s="39" t="s">
        <v>369</v>
      </c>
      <c r="B36" s="39">
        <f>SUMIF('janeiro 26'!$E:$E,"Salário",'janeiro 26'!$C:$C)</f>
        <v>62537.380000000005</v>
      </c>
      <c r="C36" s="39">
        <f>SUMIF('fevereiro 26'!$E:$E,"Salário",'fevereiro 26'!$C:$C)</f>
        <v>1249.79</v>
      </c>
      <c r="D36" s="39">
        <f>SUMIF('março 26'!$E:$E,"Salário",'março 26'!$C:$C)</f>
        <v>19749.560000000001</v>
      </c>
      <c r="E36" s="39">
        <f>SUMIF('abril 26'!$E:$E,"Salário",'abril 26'!$C:$C)</f>
        <v>21529.82</v>
      </c>
      <c r="F36" s="39">
        <f>SUMIF('maio 26'!$E:$E,"Salário",'maio 26'!$C:$C)</f>
        <v>16998.16</v>
      </c>
      <c r="G36" s="39">
        <f t="shared" ref="G36:G41" si="3">SUM(B36:F36)</f>
        <v>122064.71000000002</v>
      </c>
      <c r="H36" s="203"/>
      <c r="I36" s="12" t="s">
        <v>599</v>
      </c>
      <c r="N36" s="203"/>
      <c r="O36" s="203"/>
      <c r="P36" s="203"/>
      <c r="Q36" s="203"/>
      <c r="R36" s="203"/>
      <c r="S36" s="203"/>
    </row>
    <row r="37" spans="1:19">
      <c r="A37" s="39" t="s">
        <v>368</v>
      </c>
      <c r="B37" s="39">
        <f>SUMIF('janeiro 26'!$E:$E,"Recebimento",'janeiro 26'!$C:$C)</f>
        <v>8675</v>
      </c>
      <c r="C37" s="39">
        <f>SUMIF('fevereiro 26'!$E:$E,"Recebimento",'fevereiro 26'!$C:$C)</f>
        <v>11288</v>
      </c>
      <c r="D37" s="39">
        <f>SUMIF('março 26'!$E:$E,"Recebimento",'março 26'!$C:$C)</f>
        <v>19320.5</v>
      </c>
      <c r="E37" s="39">
        <f>SUMIF('abril 26'!$E:$E,"Recebimento",'abril 26'!$C:$C)</f>
        <v>15640</v>
      </c>
      <c r="F37" s="39">
        <f>SUMIF('maio 26'!$E:$E,"Recebimento",'maio 26'!$C:$C)</f>
        <v>28149.599999999999</v>
      </c>
      <c r="G37" s="39">
        <f t="shared" si="3"/>
        <v>83073.100000000006</v>
      </c>
      <c r="H37" s="203"/>
      <c r="I37" s="12" t="s">
        <v>600</v>
      </c>
      <c r="N37" s="203"/>
      <c r="O37" s="203"/>
      <c r="P37" s="203"/>
      <c r="Q37" s="203"/>
      <c r="R37" s="203"/>
      <c r="S37" s="203"/>
    </row>
    <row r="38" spans="1:19">
      <c r="A38" s="39" t="s">
        <v>5</v>
      </c>
      <c r="B38" s="39">
        <f>SUMIF('janeiro 26'!$E:$E,"Reembolso",'janeiro 26'!$C:$C)</f>
        <v>391.61</v>
      </c>
      <c r="C38" s="39">
        <f>SUMIF('fevereiro 26'!$E:$E,"Reembolso",'fevereiro 26'!$C:$C)</f>
        <v>1197.31</v>
      </c>
      <c r="D38" s="39">
        <f>SUMIF('março 26'!$E:$E,"Reembolso",'março 26'!$C:$C)</f>
        <v>3171.58</v>
      </c>
      <c r="E38" s="39">
        <f>SUMIF('abril 26'!$E:$E,"Reembolso",'abril 26'!$C:$C)</f>
        <v>399.07</v>
      </c>
      <c r="F38" s="39">
        <f>SUMIF('maio 26'!$E:$E,"Reembolso",'maio 26'!$C:$C)</f>
        <v>1151.83</v>
      </c>
      <c r="G38" s="39">
        <f t="shared" si="3"/>
        <v>6311.4</v>
      </c>
      <c r="H38" s="203"/>
      <c r="I38" s="12" t="s">
        <v>601</v>
      </c>
      <c r="N38" s="203"/>
      <c r="O38" s="203"/>
      <c r="P38" s="203"/>
      <c r="Q38" s="203"/>
      <c r="R38" s="203"/>
      <c r="S38" s="203"/>
    </row>
    <row r="39" spans="1:19">
      <c r="A39" s="39" t="s">
        <v>58</v>
      </c>
      <c r="B39" s="39">
        <f>SUMIF('janeiro 26'!$E:$E,"Transferência Interna",'janeiro 26'!$C:$C)</f>
        <v>23400</v>
      </c>
      <c r="C39" s="39">
        <f>SUMIF('fevereiro 26'!$E:$E,"Transferência Interna",'fevereiro 26'!$C:$C)</f>
        <v>7237.17</v>
      </c>
      <c r="D39" s="39">
        <f>SUMIF('março 26'!$E:$E,"Transferência Interna",'março 26'!$C:$C)</f>
        <v>63400</v>
      </c>
      <c r="E39" s="39">
        <f>SUMIF('abril 26'!$E:$E,"Transferência Interna",'abril 26'!$C:$C)</f>
        <v>0</v>
      </c>
      <c r="F39" s="39">
        <f>SUMIF('maio 26'!$E:$E,"Transferência Interna",'maio 26'!$C:$C)</f>
        <v>0</v>
      </c>
      <c r="G39" s="39">
        <f t="shared" si="3"/>
        <v>94037.17</v>
      </c>
      <c r="H39" s="203"/>
      <c r="I39" s="12" t="s">
        <v>602</v>
      </c>
      <c r="N39" s="203"/>
      <c r="O39" s="203"/>
      <c r="P39" s="203"/>
      <c r="Q39" s="203"/>
      <c r="R39" s="203"/>
      <c r="S39" s="203"/>
    </row>
    <row r="40" spans="1:19">
      <c r="A40" s="39" t="s">
        <v>377</v>
      </c>
      <c r="B40" s="39">
        <f>SUMIF('janeiro 26'!$E:$E,"Devolução",'janeiro 26'!$C:$C)</f>
        <v>93.82</v>
      </c>
      <c r="C40" s="39">
        <f>SUMIF('fevereiro 26'!$E:$E,"Devolução",'fevereiro 26'!$C:$C)</f>
        <v>0</v>
      </c>
      <c r="D40" s="39">
        <f>SUMIF('março 26'!$E:$E,"Devolução",'março 26'!$C:$C)</f>
        <v>363.64</v>
      </c>
      <c r="E40" s="39">
        <f>SUMIF('abril 26'!$E:$E,"Devolução",'abril 26'!$C:$C)</f>
        <v>392.56</v>
      </c>
      <c r="F40" s="39">
        <f>SUMIF('maio 26'!$E:$E,"Devolução",'maio 26'!$C:$C)</f>
        <v>0</v>
      </c>
      <c r="G40" s="39">
        <f t="shared" si="3"/>
        <v>850.02</v>
      </c>
      <c r="H40" s="203"/>
      <c r="I40" s="12" t="s">
        <v>603</v>
      </c>
      <c r="N40" s="203"/>
      <c r="O40" s="203"/>
      <c r="P40" s="203"/>
      <c r="Q40" s="203"/>
      <c r="R40" s="203"/>
      <c r="S40" s="203"/>
    </row>
    <row r="41" spans="1:19">
      <c r="A41" s="39" t="s">
        <v>414</v>
      </c>
      <c r="B41" s="39">
        <f>SUMIF('janeiro 26'!$E:$E,"Rendimento",'janeiro 26'!$C:$C)</f>
        <v>0</v>
      </c>
      <c r="C41" s="39">
        <f>SUMIF('fevereiro 26'!$E:$E,"Rendimento",'fevereiro 26'!$C:$C)</f>
        <v>0</v>
      </c>
      <c r="D41" s="39">
        <f>SUMIF('março 26'!$E:$E,"Rendimento",'março 26'!$C:$C)</f>
        <v>0.57999999999999996</v>
      </c>
      <c r="E41" s="39">
        <f>SUMIF('abril 26'!$E:$E,"Rendimento",'abril 26'!$C:$C)</f>
        <v>0</v>
      </c>
      <c r="F41" s="39">
        <f>SUMIF('maio 26'!$E:$E,"Rendimento",'maio 26'!$C:$C)</f>
        <v>0</v>
      </c>
      <c r="G41" s="39">
        <f t="shared" si="3"/>
        <v>0.57999999999999996</v>
      </c>
      <c r="H41" s="203"/>
      <c r="N41" s="203"/>
      <c r="O41" s="203"/>
      <c r="P41" s="203"/>
      <c r="Q41" s="203"/>
      <c r="R41" s="203"/>
      <c r="S41" s="203"/>
    </row>
    <row r="42" spans="1:19">
      <c r="A42" s="43" t="s">
        <v>424</v>
      </c>
      <c r="B42" s="43">
        <f t="shared" ref="B42:G42" si="4">SUM(B36:B41)</f>
        <v>95097.810000000012</v>
      </c>
      <c r="C42" s="43">
        <f t="shared" si="4"/>
        <v>20972.27</v>
      </c>
      <c r="D42" s="43">
        <f t="shared" si="4"/>
        <v>106005.86</v>
      </c>
      <c r="E42" s="43">
        <f t="shared" si="4"/>
        <v>37961.449999999997</v>
      </c>
      <c r="F42" s="43">
        <f t="shared" si="4"/>
        <v>46299.59</v>
      </c>
      <c r="G42" s="43">
        <f t="shared" si="4"/>
        <v>306336.98000000004</v>
      </c>
      <c r="H42" s="203"/>
      <c r="N42" s="203"/>
      <c r="O42" s="203"/>
      <c r="P42" s="203"/>
      <c r="Q42" s="203"/>
      <c r="R42" s="203"/>
      <c r="S42" s="203"/>
    </row>
    <row r="43" spans="1:19">
      <c r="H43" s="203"/>
      <c r="I43" s="244" t="s">
        <v>604</v>
      </c>
      <c r="J43" s="244"/>
      <c r="K43" s="244"/>
      <c r="N43" s="203"/>
      <c r="O43" s="203"/>
      <c r="P43" s="203"/>
      <c r="Q43" s="203"/>
      <c r="R43" s="203"/>
      <c r="S43" s="203"/>
    </row>
    <row r="44" spans="1:19">
      <c r="H44" s="203"/>
      <c r="I44" s="208" t="s">
        <v>1</v>
      </c>
      <c r="J44" s="208" t="s">
        <v>2</v>
      </c>
      <c r="K44" s="208" t="s">
        <v>3</v>
      </c>
      <c r="L44" s="208" t="s">
        <v>86</v>
      </c>
      <c r="M44" s="208" t="s">
        <v>1</v>
      </c>
      <c r="N44" s="207" t="s">
        <v>86</v>
      </c>
      <c r="O44" s="203"/>
      <c r="P44" s="207" t="s">
        <v>605</v>
      </c>
      <c r="Q44" s="207" t="s">
        <v>96</v>
      </c>
      <c r="R44" s="207" t="s">
        <v>606</v>
      </c>
      <c r="S44" s="207" t="s">
        <v>96</v>
      </c>
    </row>
    <row r="45" spans="1:19">
      <c r="A45" s="237" t="s">
        <v>607</v>
      </c>
      <c r="B45" s="237"/>
      <c r="C45" s="237"/>
      <c r="D45" s="237"/>
      <c r="E45" s="237"/>
      <c r="F45" s="237"/>
      <c r="G45" s="237"/>
      <c r="H45" s="203"/>
      <c r="I45" s="12" t="s">
        <v>570</v>
      </c>
      <c r="J45" s="12">
        <f>B47</f>
        <v>95097.810000000012</v>
      </c>
      <c r="K45" s="12">
        <f>B48</f>
        <v>87588.14</v>
      </c>
      <c r="L45" s="12">
        <f>B49</f>
        <v>7509.6700000000128</v>
      </c>
      <c r="M45" s="12" t="s">
        <v>7</v>
      </c>
      <c r="N45" s="5">
        <f>B49</f>
        <v>7509.6700000000128</v>
      </c>
      <c r="O45" s="203"/>
      <c r="P45" s="203" t="s">
        <v>38</v>
      </c>
      <c r="Q45" s="5">
        <f>G6</f>
        <v>42118.14</v>
      </c>
      <c r="R45" s="203" t="s">
        <v>608</v>
      </c>
      <c r="S45" s="5">
        <f>G7+G18+G19+G23</f>
        <v>36023.679999999993</v>
      </c>
    </row>
    <row r="46" spans="1:19">
      <c r="A46" s="44" t="s">
        <v>128</v>
      </c>
      <c r="B46" s="44" t="s">
        <v>570</v>
      </c>
      <c r="C46" s="44" t="s">
        <v>571</v>
      </c>
      <c r="D46" s="44" t="s">
        <v>572</v>
      </c>
      <c r="E46" s="44" t="s">
        <v>573</v>
      </c>
      <c r="F46" s="44" t="s">
        <v>574</v>
      </c>
      <c r="G46" s="44" t="s">
        <v>36</v>
      </c>
      <c r="H46" s="203"/>
      <c r="I46" s="12" t="s">
        <v>571</v>
      </c>
      <c r="J46" s="12">
        <f>C47</f>
        <v>20972.27</v>
      </c>
      <c r="K46" s="12">
        <f>C48</f>
        <v>32688.760000000002</v>
      </c>
      <c r="L46" s="12">
        <f>C49</f>
        <v>-11716.490000000002</v>
      </c>
      <c r="M46" s="12" t="s">
        <v>9</v>
      </c>
      <c r="N46" s="5">
        <f>C49</f>
        <v>-11716.490000000002</v>
      </c>
      <c r="O46" s="203"/>
      <c r="P46" s="203" t="s">
        <v>45</v>
      </c>
      <c r="Q46" s="5">
        <f>G7</f>
        <v>32019.47</v>
      </c>
      <c r="R46" s="203" t="s">
        <v>18</v>
      </c>
      <c r="S46" s="5">
        <f>G12+G10</f>
        <v>112084</v>
      </c>
    </row>
    <row r="47" spans="1:19">
      <c r="A47" s="45" t="s">
        <v>609</v>
      </c>
      <c r="B47" s="45">
        <f t="shared" ref="B47:G47" si="5">B42</f>
        <v>95097.810000000012</v>
      </c>
      <c r="C47" s="45">
        <f t="shared" si="5"/>
        <v>20972.27</v>
      </c>
      <c r="D47" s="45">
        <f t="shared" si="5"/>
        <v>106005.86</v>
      </c>
      <c r="E47" s="45">
        <f t="shared" si="5"/>
        <v>37961.449999999997</v>
      </c>
      <c r="F47" s="45">
        <f t="shared" si="5"/>
        <v>46299.59</v>
      </c>
      <c r="G47" s="45">
        <f t="shared" si="5"/>
        <v>306336.98000000004</v>
      </c>
      <c r="H47" s="203"/>
      <c r="I47" s="12" t="s">
        <v>572</v>
      </c>
      <c r="J47" s="12">
        <f>D47</f>
        <v>106005.86</v>
      </c>
      <c r="K47" s="12">
        <f>D48</f>
        <v>86875.34</v>
      </c>
      <c r="L47" s="12">
        <f>D49</f>
        <v>19130.520000000004</v>
      </c>
      <c r="M47" s="12" t="s">
        <v>13</v>
      </c>
      <c r="N47" s="5">
        <f>D49</f>
        <v>19130.520000000004</v>
      </c>
      <c r="O47" s="203"/>
      <c r="P47" s="203" t="s">
        <v>44</v>
      </c>
      <c r="Q47" s="5">
        <f>G8</f>
        <v>36066.69</v>
      </c>
      <c r="R47" s="203" t="s">
        <v>610</v>
      </c>
      <c r="S47" s="5">
        <f>G31-S45-S46</f>
        <v>142483.1100000001</v>
      </c>
    </row>
    <row r="48" spans="1:19">
      <c r="A48" s="46" t="s">
        <v>566</v>
      </c>
      <c r="B48" s="46">
        <f t="shared" ref="B48:G48" si="6">B31</f>
        <v>87588.14</v>
      </c>
      <c r="C48" s="46">
        <f t="shared" si="6"/>
        <v>32688.760000000002</v>
      </c>
      <c r="D48" s="46">
        <f t="shared" si="6"/>
        <v>86875.34</v>
      </c>
      <c r="E48" s="46">
        <f t="shared" si="6"/>
        <v>32607.71</v>
      </c>
      <c r="F48" s="46">
        <f t="shared" si="6"/>
        <v>50830.84</v>
      </c>
      <c r="G48" s="46">
        <f t="shared" si="6"/>
        <v>290590.7900000001</v>
      </c>
      <c r="H48" s="203"/>
      <c r="I48" s="12" t="s">
        <v>573</v>
      </c>
      <c r="J48" s="12">
        <f>E47</f>
        <v>37961.449999999997</v>
      </c>
      <c r="K48" s="12">
        <f>E48</f>
        <v>32607.71</v>
      </c>
      <c r="L48" s="12">
        <f>E49</f>
        <v>5353.739999999998</v>
      </c>
      <c r="M48" s="12" t="s">
        <v>33</v>
      </c>
      <c r="N48" s="5">
        <f>E49</f>
        <v>5353.739999999998</v>
      </c>
      <c r="O48" s="203"/>
      <c r="P48" s="203" t="s">
        <v>63</v>
      </c>
      <c r="Q48" s="5">
        <f>G9</f>
        <v>25840.769999999997</v>
      </c>
      <c r="R48" s="203"/>
      <c r="S48" s="203"/>
    </row>
    <row r="49" spans="1:17">
      <c r="A49" s="47" t="s">
        <v>611</v>
      </c>
      <c r="B49" s="47">
        <f t="shared" ref="B49:G49" si="7">B47-B48</f>
        <v>7509.6700000000128</v>
      </c>
      <c r="C49" s="47">
        <f t="shared" si="7"/>
        <v>-11716.490000000002</v>
      </c>
      <c r="D49" s="47">
        <f t="shared" si="7"/>
        <v>19130.520000000004</v>
      </c>
      <c r="E49" s="47">
        <f t="shared" si="7"/>
        <v>5353.739999999998</v>
      </c>
      <c r="F49" s="47">
        <f t="shared" si="7"/>
        <v>-4531.25</v>
      </c>
      <c r="G49" s="47">
        <f t="shared" si="7"/>
        <v>15746.189999999944</v>
      </c>
      <c r="H49" s="203"/>
      <c r="I49" s="12" t="s">
        <v>574</v>
      </c>
      <c r="J49" s="12">
        <f>F47</f>
        <v>46299.59</v>
      </c>
      <c r="K49" s="12">
        <f>F48</f>
        <v>50830.84</v>
      </c>
      <c r="L49" s="12">
        <f>F49</f>
        <v>-4531.25</v>
      </c>
      <c r="M49" s="12" t="s">
        <v>35</v>
      </c>
      <c r="N49" s="5">
        <f>F49</f>
        <v>-4531.25</v>
      </c>
      <c r="O49" s="203"/>
      <c r="P49" s="203" t="s">
        <v>65</v>
      </c>
      <c r="Q49" s="5">
        <f>G15</f>
        <v>6993.3100000000013</v>
      </c>
    </row>
    <row r="50" spans="1:17">
      <c r="H50" s="203"/>
      <c r="N50" s="203"/>
      <c r="O50" s="203"/>
      <c r="P50" s="203" t="s">
        <v>612</v>
      </c>
      <c r="Q50" s="5">
        <f>G18+G19+G23</f>
        <v>4004.2099999999996</v>
      </c>
    </row>
    <row r="51" spans="1:17">
      <c r="A51" s="48" t="s">
        <v>613</v>
      </c>
      <c r="H51" s="203"/>
      <c r="N51" s="203"/>
      <c r="O51" s="203"/>
      <c r="P51" s="203" t="s">
        <v>74</v>
      </c>
      <c r="Q51" s="5">
        <f>G31-SUM(Q45:Q50)-G10-G12</f>
        <v>31464.200000000099</v>
      </c>
    </row>
  </sheetData>
  <mergeCells count="12">
    <mergeCell ref="U1:V1"/>
    <mergeCell ref="A1:G1"/>
    <mergeCell ref="A4:G4"/>
    <mergeCell ref="A34:G34"/>
    <mergeCell ref="A45:G45"/>
    <mergeCell ref="I1:N1"/>
    <mergeCell ref="I3:N3"/>
    <mergeCell ref="I12:K12"/>
    <mergeCell ref="I20:K20"/>
    <mergeCell ref="I28:L28"/>
    <mergeCell ref="I35:N35"/>
    <mergeCell ref="I43:K4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E2B6-D0F7-46E2-A189-49BFE6E4C007}">
  <dimension ref="A1"/>
  <sheetViews>
    <sheetView workbookViewId="0">
      <selection activeCell="A3" sqref="A3"/>
    </sheetView>
  </sheetViews>
  <sheetFormatPr defaultRowHeight="12.75"/>
  <cols>
    <col min="1" max="1" width="13.1640625" bestFit="1" customWidth="1"/>
  </cols>
  <sheetData>
    <row r="1" spans="1:1">
      <c r="A1" s="203" t="s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F00B-CB63-4B05-84D5-7AAC1DE25D86}">
  <dimension ref="A1:C51"/>
  <sheetViews>
    <sheetView topLeftCell="A8" workbookViewId="0">
      <selection activeCell="C15" sqref="C15"/>
    </sheetView>
  </sheetViews>
  <sheetFormatPr defaultRowHeight="12.75"/>
  <cols>
    <col min="1" max="1" width="87.83203125" customWidth="1"/>
    <col min="2" max="2" width="20.5" customWidth="1"/>
    <col min="3" max="3" width="50.83203125" customWidth="1"/>
  </cols>
  <sheetData>
    <row r="1" spans="1:3">
      <c r="A1" s="203" t="s">
        <v>614</v>
      </c>
      <c r="B1" s="203"/>
      <c r="C1" s="203"/>
    </row>
    <row r="2" spans="1:3">
      <c r="A2" s="203"/>
      <c r="B2" s="203"/>
      <c r="C2" s="203"/>
    </row>
    <row r="3" spans="1:3" ht="15">
      <c r="A3" s="57" t="s">
        <v>615</v>
      </c>
      <c r="B3" s="203"/>
      <c r="C3" s="203"/>
    </row>
    <row r="4" spans="1:3" ht="15">
      <c r="A4" s="58" t="s">
        <v>8</v>
      </c>
      <c r="B4" s="203"/>
      <c r="C4" s="58" t="s">
        <v>616</v>
      </c>
    </row>
    <row r="5" spans="1:3" ht="15">
      <c r="A5" s="57" t="s">
        <v>617</v>
      </c>
      <c r="B5" s="57" t="s">
        <v>618</v>
      </c>
      <c r="C5" s="57" t="s">
        <v>619</v>
      </c>
    </row>
    <row r="6" spans="1:3" ht="15">
      <c r="A6" s="58" t="s">
        <v>620</v>
      </c>
      <c r="B6" s="203" t="s">
        <v>621</v>
      </c>
      <c r="C6" s="203"/>
    </row>
    <row r="7" spans="1:3" ht="15">
      <c r="A7" s="57" t="s">
        <v>622</v>
      </c>
      <c r="B7" s="203" t="s">
        <v>623</v>
      </c>
      <c r="C7" s="58" t="s">
        <v>624</v>
      </c>
    </row>
    <row r="8" spans="1:3" ht="15">
      <c r="A8" s="58" t="s">
        <v>625</v>
      </c>
      <c r="B8" s="203" t="s">
        <v>626</v>
      </c>
      <c r="C8" s="57" t="s">
        <v>627</v>
      </c>
    </row>
    <row r="9" spans="1:3" ht="15">
      <c r="A9" s="57"/>
      <c r="B9" s="203" t="s">
        <v>628</v>
      </c>
      <c r="C9" s="58" t="s">
        <v>629</v>
      </c>
    </row>
    <row r="10" spans="1:3" ht="15">
      <c r="A10" s="58" t="s">
        <v>270</v>
      </c>
      <c r="B10" s="203" t="s">
        <v>630</v>
      </c>
      <c r="C10" s="58" t="s">
        <v>270</v>
      </c>
    </row>
    <row r="11" spans="1:3" ht="15">
      <c r="A11" s="57"/>
      <c r="B11" s="203"/>
      <c r="C11" s="203"/>
    </row>
    <row r="12" spans="1:3" ht="15">
      <c r="A12" s="58"/>
      <c r="B12" s="203"/>
      <c r="C12" s="203"/>
    </row>
    <row r="13" spans="1:3" ht="15">
      <c r="A13" s="57"/>
      <c r="B13" s="203"/>
      <c r="C13" s="203"/>
    </row>
    <row r="14" spans="1:3" ht="15">
      <c r="A14" s="58"/>
      <c r="B14" s="203"/>
      <c r="C14" s="203"/>
    </row>
    <row r="15" spans="1:3" ht="15">
      <c r="A15" s="57"/>
      <c r="B15" s="203"/>
      <c r="C15" s="203"/>
    </row>
    <row r="16" spans="1:3" ht="15">
      <c r="A16" s="58"/>
      <c r="B16" s="203"/>
      <c r="C16" s="203"/>
    </row>
    <row r="17" spans="1:1" ht="15">
      <c r="A17" s="57"/>
    </row>
    <row r="18" spans="1:1" ht="15">
      <c r="A18" s="58"/>
    </row>
    <row r="19" spans="1:1" ht="15">
      <c r="A19" s="57"/>
    </row>
    <row r="20" spans="1:1" ht="15">
      <c r="A20" s="58"/>
    </row>
    <row r="21" spans="1:1" ht="15">
      <c r="A21" s="57"/>
    </row>
    <row r="22" spans="1:1" ht="15">
      <c r="A22" s="58"/>
    </row>
    <row r="23" spans="1:1" ht="15">
      <c r="A23" s="57"/>
    </row>
    <row r="24" spans="1:1" ht="15">
      <c r="A24" s="58"/>
    </row>
    <row r="25" spans="1:1" ht="15">
      <c r="A25" s="57" t="s">
        <v>624</v>
      </c>
    </row>
    <row r="26" spans="1:1" ht="15">
      <c r="A26" s="58" t="s">
        <v>631</v>
      </c>
    </row>
    <row r="27" spans="1:1" ht="15">
      <c r="A27" s="57" t="s">
        <v>632</v>
      </c>
    </row>
    <row r="28" spans="1:1" ht="15">
      <c r="A28" s="58" t="s">
        <v>633</v>
      </c>
    </row>
    <row r="29" spans="1:1" ht="15">
      <c r="A29" s="57" t="s">
        <v>634</v>
      </c>
    </row>
    <row r="30" spans="1:1" ht="15">
      <c r="A30" s="58" t="s">
        <v>631</v>
      </c>
    </row>
    <row r="31" spans="1:1" ht="15">
      <c r="A31" s="57" t="s">
        <v>633</v>
      </c>
    </row>
    <row r="32" spans="1:1" ht="15">
      <c r="A32" s="58" t="s">
        <v>635</v>
      </c>
    </row>
    <row r="33" spans="1:1" ht="15">
      <c r="A33" s="57" t="s">
        <v>636</v>
      </c>
    </row>
    <row r="34" spans="1:1" ht="15">
      <c r="A34" s="58" t="s">
        <v>636</v>
      </c>
    </row>
    <row r="35" spans="1:1" ht="15">
      <c r="A35" s="57" t="s">
        <v>637</v>
      </c>
    </row>
    <row r="36" spans="1:1" ht="15">
      <c r="A36" s="58" t="s">
        <v>638</v>
      </c>
    </row>
    <row r="37" spans="1:1" ht="15">
      <c r="A37" s="57" t="s">
        <v>638</v>
      </c>
    </row>
    <row r="38" spans="1:1" ht="15">
      <c r="A38" s="58" t="s">
        <v>633</v>
      </c>
    </row>
    <row r="39" spans="1:1" ht="15">
      <c r="A39" s="57" t="s">
        <v>631</v>
      </c>
    </row>
    <row r="40" spans="1:1" ht="15">
      <c r="A40" s="58" t="s">
        <v>637</v>
      </c>
    </row>
    <row r="41" spans="1:1" ht="15">
      <c r="A41" s="57" t="s">
        <v>226</v>
      </c>
    </row>
    <row r="42" spans="1:1" ht="15">
      <c r="A42" s="58" t="s">
        <v>228</v>
      </c>
    </row>
    <row r="43" spans="1:1" ht="15">
      <c r="A43" s="57" t="s">
        <v>298</v>
      </c>
    </row>
    <row r="44" spans="1:1" ht="15">
      <c r="A44" s="58" t="s">
        <v>232</v>
      </c>
    </row>
    <row r="45" spans="1:1" ht="15">
      <c r="A45" s="59" t="s">
        <v>303</v>
      </c>
    </row>
    <row r="46" spans="1:1" ht="15">
      <c r="A46" s="60" t="s">
        <v>308</v>
      </c>
    </row>
    <row r="47" spans="1:1" ht="15">
      <c r="A47" s="60" t="s">
        <v>232</v>
      </c>
    </row>
    <row r="48" spans="1:1" ht="15">
      <c r="A48" s="60" t="s">
        <v>232</v>
      </c>
    </row>
    <row r="49" spans="1:1" ht="15">
      <c r="A49" s="61" t="s">
        <v>315</v>
      </c>
    </row>
    <row r="50" spans="1:1" ht="15">
      <c r="A50" s="62" t="s">
        <v>319</v>
      </c>
    </row>
    <row r="51" spans="1:1" ht="15">
      <c r="A51" s="63" t="s">
        <v>325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3CC1-DCE0-4E07-A5BD-B0EACE70549D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Usuário Convidado</cp:lastModifiedBy>
  <cp:revision/>
  <dcterms:created xsi:type="dcterms:W3CDTF">2026-05-21T17:39:25Z</dcterms:created>
  <dcterms:modified xsi:type="dcterms:W3CDTF">2026-07-04T22:20:38Z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2026-02-28T00:00:00Z</vt:filetime>
  </property>
  <property fmtid="{D5CDD505-2E9C-101B-9397-08002B2CF9AE}" pid="3" name="LastSaved">
    <vt:filetime>2026-05-21T00:00:00Z</vt:filetime>
  </property>
  <property fmtid="{D5CDD505-2E9C-101B-9397-08002B2CF9AE}" pid="4" name="MSIP_Label_fec09dec-a9ce-4322-b578-b49052c992d8_Enabled">
    <vt:lpwstr>true</vt:lpwstr>
  </property>
  <property fmtid="{D5CDD505-2E9C-101B-9397-08002B2CF9AE}" pid="5" name="MSIP_Label_fec09dec-a9ce-4322-b578-b49052c992d8_SetDate">
    <vt:lpwstr>2026-05-21T17:39:56Z</vt:lpwstr>
  </property>
  <property fmtid="{D5CDD505-2E9C-101B-9397-08002B2CF9AE}" pid="6" name="MSIP_Label_fec09dec-a9ce-4322-b578-b49052c992d8_Method">
    <vt:lpwstr>Standard</vt:lpwstr>
  </property>
  <property fmtid="{D5CDD505-2E9C-101B-9397-08002B2CF9AE}" pid="7" name="MSIP_Label_fec09dec-a9ce-4322-b578-b49052c992d8_Name">
    <vt:lpwstr>Firm Confidential Information-SLV1</vt:lpwstr>
  </property>
  <property fmtid="{D5CDD505-2E9C-101B-9397-08002B2CF9AE}" pid="8" name="MSIP_Label_fec09dec-a9ce-4322-b578-b49052c992d8_SiteId">
    <vt:lpwstr>cc8936bc-9382-4fff-87cb-6f55999549e7</vt:lpwstr>
  </property>
  <property fmtid="{D5CDD505-2E9C-101B-9397-08002B2CF9AE}" pid="9" name="MSIP_Label_fec09dec-a9ce-4322-b578-b49052c992d8_ActionId">
    <vt:lpwstr>48138aae-8ff6-4697-8426-a668ded2cb3f</vt:lpwstr>
  </property>
  <property fmtid="{D5CDD505-2E9C-101B-9397-08002B2CF9AE}" pid="10" name="MSIP_Label_fec09dec-a9ce-4322-b578-b49052c992d8_ContentBits">
    <vt:lpwstr>0</vt:lpwstr>
  </property>
  <property fmtid="{D5CDD505-2E9C-101B-9397-08002B2CF9AE}" pid="11" name="MSIP_Label_fec09dec-a9ce-4322-b578-b49052c992d8_Tag">
    <vt:lpwstr>10, 3, 0, 1</vt:lpwstr>
  </property>
</Properties>
</file>